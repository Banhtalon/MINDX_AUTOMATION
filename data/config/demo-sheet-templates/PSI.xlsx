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96" documentId="11_950C53EB1507EEA9BCB93557D42528E350CAC637" xr6:coauthVersionLast="47" xr6:coauthVersionMax="47" xr10:uidLastSave="{57CC0E71-9805-4F96-89CA-4D8C987BAF9A}"/>
  <bookViews>
    <workbookView xWindow="0" yWindow="0" windowWidth="0" windowHeight="0" xr2:uid="{00000000-000D-0000-FFFF-FFFF00000000}"/>
  </bookViews>
  <sheets>
    <sheet name="Bare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15" i="2"/>
  <c r="E14" i="2"/>
  <c r="E13" i="2"/>
  <c r="E12" i="2"/>
  <c r="E9" i="2"/>
  <c r="E10" i="2"/>
  <c r="E11" i="2"/>
  <c r="E28" i="2"/>
  <c r="E26" i="2"/>
  <c r="E25" i="2"/>
  <c r="E24" i="2"/>
  <c r="E23" i="2"/>
  <c r="E22" i="2"/>
  <c r="E21" i="2"/>
  <c r="E20" i="2"/>
  <c r="E19" i="2"/>
  <c r="E18" i="2"/>
  <c r="E17" i="2"/>
  <c r="E16" i="2"/>
  <c r="E8" i="2"/>
  <c r="F8" i="2" s="1"/>
  <c r="B5" i="2"/>
</calcChain>
</file>

<file path=xl/sharedStrings.xml><?xml version="1.0" encoding="utf-8"?>
<sst xmlns="http://schemas.openxmlformats.org/spreadsheetml/2006/main" count="63" uniqueCount="43">
  <si>
    <t>Bảng chấm điểm buổi demo App Producer - Intensive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</si>
  <si>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</si>
  <si>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</si>
  <si>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</si>
  <si>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</si>
  <si>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</si>
  <si>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</si>
  <si>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</si>
  <si>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</si>
  <si>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</si>
  <si>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</si>
  <si>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</si>
  <si>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</si>
  <si>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Aptos Display"/>
      </rPr>
      <t xml:space="preserve">Tư duy máy tính, tư duy thuật toán
</t>
    </r>
    <r>
      <rPr>
        <sz val="10"/>
        <color rgb="FF000000"/>
        <rFont val="Aptos Display"/>
      </rPr>
      <t>(2 điểm)</t>
    </r>
  </si>
  <si>
    <t>Giao diện có thanh điều hướng</t>
  </si>
  <si>
    <t>Tốt</t>
  </si>
  <si>
    <t>Giao diện có các trang khác nhau (sử dụng Stacked Widget)</t>
  </si>
  <si>
    <t>Giao diện có hiển thị danh sách đối tượng (sử dụng List Widget)</t>
  </si>
  <si>
    <t>Giao diện có các nút CRUD (các nút Thêm, Xoá, Sửa)</t>
  </si>
  <si>
    <t xml:space="preserve">Giao diện có hiển thị hộp thoại (Dialog) khi thêm, xoá, sửa </t>
  </si>
  <si>
    <t>Ứng dụng có sử dụng đối tượng - lớp</t>
  </si>
  <si>
    <t>Ứng dụng sử dụng danh sách đối tượng</t>
  </si>
  <si>
    <t>Ứng dụng có chức năng quản lý danh sách đối tượng (CRUD)</t>
  </si>
  <si>
    <r>
      <rPr>
        <b/>
        <sz val="10"/>
        <color rgb="FF000000"/>
        <rFont val="Aptos Display"/>
      </rPr>
      <t xml:space="preserve">Tư duy sáng tạo
</t>
    </r>
    <r>
      <rPr>
        <sz val="10"/>
        <color rgb="FF000000"/>
        <rFont val="Aptos Display"/>
      </rPr>
      <t xml:space="preserve">(1 điểm)
</t>
    </r>
  </si>
  <si>
    <t>Có hiệu ứng đổi màu khi hover/click/select vào các thành phần giao diện</t>
  </si>
  <si>
    <t>Sáng tạo hiệu ứng khác khi tương tác với các thành phần giao diện</t>
  </si>
  <si>
    <t>Sử dụng hình ảnh và icon không méo, không vỡ - mờ</t>
  </si>
  <si>
    <t>Chọn phối màu tương phản hợp lý, đẹp mắt, dễ nhìn</t>
  </si>
  <si>
    <r>
      <rPr>
        <b/>
        <sz val="10"/>
        <color rgb="FF000000"/>
        <rFont val="Aptos Display"/>
      </rPr>
      <t xml:space="preserve">Kỹ năng giao tiếp, hợp tác
</t>
    </r>
    <r>
      <rPr>
        <sz val="10"/>
        <color rgb="FF000000"/>
        <rFont val="Aptos Display"/>
      </rPr>
      <t>(0.5 điểm)</t>
    </r>
  </si>
  <si>
    <t>Tự tin và lưu loát khi thuyết trình - demo dự án</t>
  </si>
  <si>
    <t>Có thái độ tôn trọng và cởi mở khi giao tiếp với ban giám khảo và khán giả</t>
  </si>
  <si>
    <r>
      <rPr>
        <b/>
        <sz val="10"/>
        <color rgb="FF000000"/>
        <rFont val="Aptos Display"/>
      </rPr>
      <t xml:space="preserve">Giải quyết vấn đề
</t>
    </r>
    <r>
      <rPr>
        <sz val="10"/>
        <color rgb="FF000000"/>
        <rFont val="Aptos Display"/>
      </rPr>
      <t>(1 điểm)</t>
    </r>
  </si>
  <si>
    <t>Ý tưởng dự án sát với thực tế, có cấu trúc, câu chuyện rõ ràng</t>
  </si>
  <si>
    <t>Ý tưởng có sự sáng tạo và có màu sắc cá nhân</t>
  </si>
  <si>
    <t>Luồng demo ứng dụng dễ hiểu và sử dụng, thể hiện được mục tiêu ứng dụng</t>
  </si>
  <si>
    <t>Trả lời tốt các câu hỏi thuyết trình</t>
  </si>
  <si>
    <r>
      <rPr>
        <b/>
        <sz val="10"/>
        <color rgb="FF000000"/>
        <rFont val="Aptos Display"/>
      </rPr>
      <t xml:space="preserve">Kỹ năng sử dụng máy tính
</t>
    </r>
    <r>
      <rPr>
        <sz val="10"/>
        <color rgb="FF000000"/>
        <rFont val="Aptos Display"/>
      </rPr>
      <t>(0.5 điểm)</t>
    </r>
  </si>
  <si>
    <t>Sử dụng file .json để quản lý dữ liệu</t>
  </si>
  <si>
    <t>Đường dẫn trải nghiệm dự án: (Video Demo độ dài 1 - 3 phút/ link tải file)</t>
  </si>
  <si>
    <t>Sử dụng file .qss để thiết kế giao diện ứng dụng</t>
  </si>
  <si>
    <t>Nhận xét</t>
  </si>
  <si>
    <t>BGK1</t>
  </si>
  <si>
    <t>BGK2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</si>
</sst>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0.000"/>
  </numFmts>
  <fonts count="16">
    <font>
      <sz val="10"/>
      <color rgb="FF000000"/>
      <name val="Arial"/>
      <scheme val="minor"/>
    </font>
    <font>
      <b/>
      <sz val="26"/>
      <color rgb="FFCC0000"/>
      <name val="Aptos Display"/>
    </font>
    <font>
      <b/>
      <sz val="11"/>
      <color rgb="FFCC0000"/>
      <name val="Aptos Display"/>
    </font>
    <font>
      <sz val="11"/>
      <color theme="1"/>
      <name val="Aptos Display"/>
    </font>
    <font>
      <sz val="10"/>
      <color rgb="FF000000"/>
      <name val="Aptos Display"/>
    </font>
    <font>
      <b/>
      <sz val="11"/>
      <color rgb="FF000000"/>
      <name val="Aptos Display"/>
    </font>
    <font>
      <b/>
      <sz val="12"/>
      <color rgb="FFFFFFFF"/>
      <name val="Aptos Display"/>
    </font>
    <font>
      <sz val="10"/>
      <name val="Aptos Display"/>
    </font>
    <font>
      <b/>
      <sz val="10"/>
      <color rgb="FFFFFFFF"/>
      <name val="Aptos Display"/>
    </font>
    <font>
      <b/>
      <sz val="10"/>
      <color rgb="FF000000"/>
      <name val="Aptos Display"/>
    </font>
    <font>
      <b/>
      <sz val="20"/>
      <color rgb="FF000000"/>
      <name val="Aptos Display"/>
    </font>
    <font>
      <b/>
      <sz val="13"/>
      <color theme="1"/>
      <name val="Aptos Display"/>
    </font>
    <font>
      <b/>
      <sz val="10"/>
      <color theme="1"/>
      <name val="Aptos Display"/>
    </font>
    <font>
      <b/>
      <sz val="13"/>
      <color rgb="FFFFFFFF"/>
      <name val="Aptos Display"/>
    </font>
    <font>
      <b/>
      <sz val="13"/>
      <color rgb="FFCC0000"/>
      <name val="Aptos Display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left" vertical="center"/>
    </xf>
    <xf numFmtId="3" fontId="6" fillId="3" borderId="2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readingOrder="1"/>
    </xf>
    <xf numFmtId="0" fontId="4" fillId="0" borderId="5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4" fontId="9" fillId="0" borderId="0" xfId="0" applyNumberFormat="1" applyFont="1" applyAlignment="1">
      <alignment horizontal="center" vertical="center"/>
    </xf>
    <xf numFmtId="0" fontId="15" fillId="2" borderId="11" xfId="0" applyFont="1" applyFill="1" applyBorder="1"/>
    <xf numFmtId="0" fontId="9" fillId="0" borderId="0" xfId="0" applyFont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5" fontId="12" fillId="0" borderId="0" xfId="0" applyNumberFormat="1" applyFont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4" fillId="2" borderId="4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0" fontId="15" fillId="2" borderId="11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0" fontId="4" fillId="0" borderId="0" xfId="0" applyFont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7" fillId="0" borderId="6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827F-9B2C-4BC0-BF34-DD3FDE6C4401}">
  <dimension ref="A1:F33"/>
  <sheetViews>
    <sheetView tabSelected="1" workbookViewId="0">
      <selection activeCell="E26" sqref="E26:E27"/>
    </sheetView>
  </sheetViews>
  <sheetFormatPr defaultRowHeight="12.75"/>
  <cols>
    <col min="1" max="1" width="26.5703125" customWidth="1"/>
    <col min="2" max="2" width="59.42578125" customWidth="1"/>
    <col min="3" max="3" width="14.140625" customWidth="1"/>
    <col min="4" max="4" width="25.28515625" customWidth="1"/>
    <col min="5" max="5" width="17" customWidth="1"/>
    <col min="6" max="6" width="14.42578125" customWidth="1"/>
  </cols>
  <sheetData>
    <row r="1" spans="1:6" ht="49.5" customHeight="1">
      <c r="A1" s="43" t="s">
        <v>0</v>
      </c>
      <c r="B1" s="43"/>
      <c r="C1" s="43"/>
      <c r="D1" s="43"/>
      <c r="E1" s="43"/>
      <c r="F1" s="43"/>
    </row>
    <row r="2" spans="1:6" ht="22.5" customHeight="1">
      <c r="A2" s="1" t="s">
        <v>1</v>
      </c>
      <c r="B2" s="44" t="s">
        <v>2</v>
      </c>
      <c r="C2" s="46"/>
      <c r="D2" s="23"/>
      <c r="E2" s="22"/>
      <c r="F2" s="22"/>
    </row>
    <row r="3" spans="1:6" ht="24" customHeight="1">
      <c r="A3" s="1" t="s">
        <v>3</v>
      </c>
      <c r="B3" s="45">
        <v>45414</v>
      </c>
      <c r="C3" s="46"/>
      <c r="D3" s="2"/>
      <c r="E3" s="3"/>
      <c r="F3" s="22"/>
    </row>
    <row r="4" spans="1:6" ht="25.5" customHeight="1">
      <c r="A4" s="1" t="s">
        <v>4</v>
      </c>
      <c r="B4" s="45">
        <v>45421</v>
      </c>
      <c r="C4" s="46"/>
      <c r="D4" s="2"/>
      <c r="E4" s="3"/>
      <c r="F4" s="3"/>
    </row>
    <row r="5" spans="1:6" ht="21" customHeight="1">
      <c r="A5" s="1" t="s">
        <v>5</v>
      </c>
      <c r="B5" s="42" t="str">
        <f>ROUND(F8,2) &amp;" / 5"</f>
        <v>5 / 5</v>
      </c>
      <c r="C5" s="46"/>
      <c r="D5" s="4"/>
      <c r="E5" s="5"/>
      <c r="F5" s="4"/>
    </row>
    <row r="6" spans="1:6" ht="15.75">
      <c r="A6" s="27" t="s">
        <v>6</v>
      </c>
      <c r="B6" s="27" t="s">
        <v>7</v>
      </c>
      <c r="C6" s="28" t="s">
        <v>8</v>
      </c>
      <c r="D6" s="6" t="s">
        <v>9</v>
      </c>
      <c r="E6" s="29" t="s">
        <v>10</v>
      </c>
      <c r="F6" s="30" t="s">
        <v>11</v>
      </c>
    </row>
    <row r="7" spans="1:6" ht="13.5">
      <c r="A7" s="47"/>
      <c r="B7" s="47"/>
      <c r="C7" s="48"/>
      <c r="D7" s="7" t="s">
        <v>12</v>
      </c>
      <c r="E7" s="49"/>
      <c r="F7" s="47"/>
    </row>
    <row r="8" spans="1:6" ht="13.5">
      <c r="A8" s="25" t="s">
        <v>13</v>
      </c>
      <c r="B8" s="8" t="s">
        <v>14</v>
      </c>
      <c r="C8" s="9">
        <v>0.25</v>
      </c>
      <c r="D8" s="10" t="s">
        <v>15</v>
      </c>
      <c r="E8" s="9">
        <f>IF(D8="Chưa đạt", 0, IF(D8="Hoàn thành", C8/2, C8))</f>
        <v>0.25</v>
      </c>
      <c r="F8" s="31">
        <f>SUM(E8:E30)</f>
        <v>5</v>
      </c>
    </row>
    <row r="9" spans="1:6" ht="13.5">
      <c r="A9" s="34"/>
      <c r="B9" s="8" t="s">
        <v>16</v>
      </c>
      <c r="C9" s="9">
        <v>0.25</v>
      </c>
      <c r="D9" s="10" t="s">
        <v>15</v>
      </c>
      <c r="E9" s="9">
        <f>IF(D9="Chưa đạt", 0, IF(D9="Hoàn thành", C9/2, C9))</f>
        <v>0.25</v>
      </c>
      <c r="F9" s="32"/>
    </row>
    <row r="10" spans="1:6" ht="13.5">
      <c r="A10" s="34"/>
      <c r="B10" s="8" t="s">
        <v>17</v>
      </c>
      <c r="C10" s="9">
        <v>0.25</v>
      </c>
      <c r="D10" s="10" t="s">
        <v>15</v>
      </c>
      <c r="E10" s="9">
        <f>IF(D10="Chưa đạt", 0, IF(D10="Hoàn thành", C10/2, C10))</f>
        <v>0.25</v>
      </c>
      <c r="F10" s="32"/>
    </row>
    <row r="11" spans="1:6" ht="13.5">
      <c r="A11" s="34"/>
      <c r="B11" s="8" t="s">
        <v>18</v>
      </c>
      <c r="C11" s="9">
        <v>0.25</v>
      </c>
      <c r="D11" s="10" t="s">
        <v>15</v>
      </c>
      <c r="E11" s="9">
        <f>IF(D11="Chưa đạt", 0, IF(D11="Hoàn thành", C11/2, C11))</f>
        <v>0.25</v>
      </c>
      <c r="F11" s="32"/>
    </row>
    <row r="12" spans="1:6" ht="13.5">
      <c r="A12" s="34"/>
      <c r="B12" s="8" t="s">
        <v>19</v>
      </c>
      <c r="C12" s="9">
        <v>0.25</v>
      </c>
      <c r="D12" s="10" t="s">
        <v>15</v>
      </c>
      <c r="E12" s="9">
        <f>IF(D12="Chưa đạt", 0, IF(D12="Hoàn thành", C12/2, C12))</f>
        <v>0.25</v>
      </c>
      <c r="F12" s="32"/>
    </row>
    <row r="13" spans="1:6" ht="13.5">
      <c r="A13" s="34"/>
      <c r="B13" s="8" t="s">
        <v>20</v>
      </c>
      <c r="C13" s="9">
        <v>0.25</v>
      </c>
      <c r="D13" s="10" t="s">
        <v>15</v>
      </c>
      <c r="E13" s="9">
        <f>IF(D13="Chưa đạt", 0, IF(D13="Hoàn thành", C13/2, C13))</f>
        <v>0.25</v>
      </c>
      <c r="F13" s="32"/>
    </row>
    <row r="14" spans="1:6" ht="13.5">
      <c r="A14" s="34"/>
      <c r="B14" s="8" t="s">
        <v>21</v>
      </c>
      <c r="C14" s="9">
        <v>0.25</v>
      </c>
      <c r="D14" s="10" t="s">
        <v>15</v>
      </c>
      <c r="E14" s="9">
        <f>IF(D14="Chưa đạt", 0, IF(D14="Hoàn thành", C14/2, C14))</f>
        <v>0.25</v>
      </c>
      <c r="F14" s="32"/>
    </row>
    <row r="15" spans="1:6" ht="13.5">
      <c r="A15" s="26"/>
      <c r="B15" s="8" t="s">
        <v>22</v>
      </c>
      <c r="C15" s="9">
        <v>0.25</v>
      </c>
      <c r="D15" s="10" t="s">
        <v>15</v>
      </c>
      <c r="E15" s="9">
        <f>IF(D15="Chưa đạt", 0, IF(D15="Hoàn thành", C15/2, C15))</f>
        <v>0.25</v>
      </c>
      <c r="F15" s="32"/>
    </row>
    <row r="16" spans="1:6" ht="13.5">
      <c r="A16" s="25" t="s">
        <v>23</v>
      </c>
      <c r="B16" s="11" t="s">
        <v>24</v>
      </c>
      <c r="C16" s="9">
        <v>0.25</v>
      </c>
      <c r="D16" s="10" t="s">
        <v>15</v>
      </c>
      <c r="E16" s="9">
        <f t="shared" ref="E16:E28" si="0">IF(D16="Chưa đạt", 0, IF(D16="Hoàn thành", C16/2, C16))</f>
        <v>0.25</v>
      </c>
      <c r="F16" s="32"/>
    </row>
    <row r="17" spans="1:6" ht="13.5">
      <c r="A17" s="34"/>
      <c r="B17" s="8" t="s">
        <v>25</v>
      </c>
      <c r="C17" s="9">
        <v>0.25</v>
      </c>
      <c r="D17" s="10" t="s">
        <v>15</v>
      </c>
      <c r="E17" s="9">
        <f t="shared" si="0"/>
        <v>0.25</v>
      </c>
      <c r="F17" s="32"/>
    </row>
    <row r="18" spans="1:6" ht="13.5">
      <c r="A18" s="34"/>
      <c r="B18" s="8" t="s">
        <v>26</v>
      </c>
      <c r="C18" s="9">
        <v>0.25</v>
      </c>
      <c r="D18" s="10" t="s">
        <v>15</v>
      </c>
      <c r="E18" s="9">
        <f t="shared" si="0"/>
        <v>0.25</v>
      </c>
      <c r="F18" s="32"/>
    </row>
    <row r="19" spans="1:6" ht="13.5">
      <c r="A19" s="26"/>
      <c r="B19" s="8" t="s">
        <v>27</v>
      </c>
      <c r="C19" s="9">
        <v>0.25</v>
      </c>
      <c r="D19" s="10" t="s">
        <v>15</v>
      </c>
      <c r="E19" s="9">
        <f t="shared" si="0"/>
        <v>0.25</v>
      </c>
      <c r="F19" s="32"/>
    </row>
    <row r="20" spans="1:6" ht="13.5">
      <c r="A20" s="25" t="s">
        <v>28</v>
      </c>
      <c r="B20" s="8" t="s">
        <v>29</v>
      </c>
      <c r="C20" s="9">
        <v>0.25</v>
      </c>
      <c r="D20" s="10" t="s">
        <v>15</v>
      </c>
      <c r="E20" s="9">
        <f t="shared" si="0"/>
        <v>0.25</v>
      </c>
      <c r="F20" s="32"/>
    </row>
    <row r="21" spans="1:6" ht="13.5">
      <c r="A21" s="26"/>
      <c r="B21" s="8" t="s">
        <v>30</v>
      </c>
      <c r="C21" s="9">
        <v>0.25</v>
      </c>
      <c r="D21" s="10" t="s">
        <v>15</v>
      </c>
      <c r="E21" s="9">
        <f t="shared" si="0"/>
        <v>0.25</v>
      </c>
      <c r="F21" s="32"/>
    </row>
    <row r="22" spans="1:6" ht="13.5">
      <c r="A22" s="25" t="s">
        <v>31</v>
      </c>
      <c r="B22" s="8" t="s">
        <v>32</v>
      </c>
      <c r="C22" s="9">
        <v>0.25</v>
      </c>
      <c r="D22" s="10" t="s">
        <v>15</v>
      </c>
      <c r="E22" s="9">
        <f t="shared" si="0"/>
        <v>0.25</v>
      </c>
      <c r="F22" s="32"/>
    </row>
    <row r="23" spans="1:6" ht="13.5">
      <c r="A23" s="34"/>
      <c r="B23" s="8" t="s">
        <v>33</v>
      </c>
      <c r="C23" s="9">
        <v>0.25</v>
      </c>
      <c r="D23" s="10" t="s">
        <v>15</v>
      </c>
      <c r="E23" s="9">
        <f t="shared" si="0"/>
        <v>0.25</v>
      </c>
      <c r="F23" s="32"/>
    </row>
    <row r="24" spans="1:6" ht="13.5">
      <c r="A24" s="34"/>
      <c r="B24" s="8" t="s">
        <v>34</v>
      </c>
      <c r="C24" s="9">
        <v>0.25</v>
      </c>
      <c r="D24" s="10" t="s">
        <v>15</v>
      </c>
      <c r="E24" s="9">
        <f t="shared" si="0"/>
        <v>0.25</v>
      </c>
      <c r="F24" s="32"/>
    </row>
    <row r="25" spans="1:6" ht="13.5">
      <c r="A25" s="26"/>
      <c r="B25" s="8" t="s">
        <v>35</v>
      </c>
      <c r="C25" s="9">
        <v>0.25</v>
      </c>
      <c r="D25" s="10" t="s">
        <v>15</v>
      </c>
      <c r="E25" s="9">
        <f t="shared" si="0"/>
        <v>0.25</v>
      </c>
      <c r="F25" s="32"/>
    </row>
    <row r="26" spans="1:6" ht="13.5">
      <c r="A26" s="25" t="s">
        <v>36</v>
      </c>
      <c r="B26" s="8" t="s">
        <v>37</v>
      </c>
      <c r="C26" s="9">
        <v>0.25</v>
      </c>
      <c r="D26" s="10" t="s">
        <v>15</v>
      </c>
      <c r="E26" s="9">
        <f t="shared" si="0"/>
        <v>0.25</v>
      </c>
      <c r="F26" s="32"/>
    </row>
    <row r="27" spans="1:6" ht="13.5">
      <c r="A27" s="34"/>
      <c r="B27" s="8" t="s">
        <v>38</v>
      </c>
      <c r="C27" s="19">
        <v>0.125</v>
      </c>
      <c r="D27" s="10" t="s">
        <v>15</v>
      </c>
      <c r="E27" s="9">
        <f t="shared" si="0"/>
        <v>0.125</v>
      </c>
      <c r="F27" s="32"/>
    </row>
    <row r="28" spans="1:6" ht="13.5">
      <c r="A28" s="26"/>
      <c r="B28" s="8" t="s">
        <v>39</v>
      </c>
      <c r="C28" s="19">
        <v>0.125</v>
      </c>
      <c r="D28" s="10" t="s">
        <v>15</v>
      </c>
      <c r="E28" s="19">
        <f t="shared" si="0"/>
        <v>0.125</v>
      </c>
      <c r="F28" s="33"/>
    </row>
    <row r="29" spans="1:6" ht="26.25">
      <c r="A29" s="15"/>
      <c r="C29" s="16"/>
      <c r="D29" s="17"/>
      <c r="E29" s="16"/>
      <c r="F29" s="18"/>
    </row>
    <row r="30" spans="1:6" ht="17.25">
      <c r="A30" s="12"/>
      <c r="B30" s="11"/>
      <c r="C30" s="20"/>
      <c r="D30" s="20"/>
      <c r="E30" s="21"/>
      <c r="F30" s="13"/>
    </row>
    <row r="31" spans="1:6" ht="17.25">
      <c r="A31" s="12"/>
      <c r="B31" s="35" t="s">
        <v>40</v>
      </c>
      <c r="C31" s="35"/>
      <c r="D31" s="35"/>
      <c r="E31" s="35"/>
    </row>
    <row r="32" spans="1:6" ht="17.25">
      <c r="A32" s="12"/>
      <c r="B32" s="24" t="s">
        <v>41</v>
      </c>
      <c r="C32" s="36" t="s">
        <v>42</v>
      </c>
      <c r="D32" s="37"/>
      <c r="E32" s="38"/>
    </row>
    <row r="33" spans="2:5" ht="96.75" customHeight="1">
      <c r="B33" s="14"/>
      <c r="C33" s="39"/>
      <c r="D33" s="40"/>
      <c r="E33" s="41"/>
    </row>
  </sheetData>
  <mergeCells count="19">
    <mergeCell ref="A1:F1"/>
    <mergeCell ref="B2:C2"/>
    <mergeCell ref="B3:C3"/>
    <mergeCell ref="B4:C4"/>
    <mergeCell ref="C32:E32"/>
    <mergeCell ref="C33:E33"/>
    <mergeCell ref="B5:C5"/>
    <mergeCell ref="A20:A21"/>
    <mergeCell ref="A8:A15"/>
    <mergeCell ref="F6:F7"/>
    <mergeCell ref="F8:F28"/>
    <mergeCell ref="A16:A19"/>
    <mergeCell ref="A22:A25"/>
    <mergeCell ref="B31:E31"/>
    <mergeCell ref="A26:A28"/>
    <mergeCell ref="A6:A7"/>
    <mergeCell ref="B6:B7"/>
    <mergeCell ref="C6:C7"/>
    <mergeCell ref="E6:E7"/>
  </mergeCells>
  <conditionalFormatting sqref="E6:E29">
    <cfRule type="containsText" dxfId="0" priority="1" operator="containsText" text="Check">
      <formula>NOT(ISERROR(SEARCH(("Check"),(G6))))</formula>
    </cfRule>
  </conditionalFormatting>
  <dataValidations count="1">
    <dataValidation type="list" allowBlank="1" showInputMessage="1" showErrorMessage="1" sqref="D8:D29" xr:uid="{3E063164-43F7-4760-AC60-2B6874363AFD}">
      <formula1>"Chưa đạt,Hoàn thành,Tốt"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Hiếu Nguyễn Trung</cp:lastModifiedBy>
  <cp:revision/>
  <dcterms:created xsi:type="dcterms:W3CDTF">2024-08-04T15:11:08Z</dcterms:created>
  <dcterms:modified xsi:type="dcterms:W3CDTF">2026-05-15T11:28:04Z</dcterms:modified>
  <cp:category/>
  <cp:contentStatus/>
</cp:coreProperties>
</file>