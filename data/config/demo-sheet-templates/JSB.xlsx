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xr:revisionPtr revIDLastSave="98" documentId="11_C37176345D5CA7C6365A18759BCC05A41E576F6B" xr6:coauthVersionLast="47" xr6:coauthVersionMax="47" xr10:uidLastSave="{5BB6C664-DE46-41D3-BF0D-7EF566C88E48}"/>
  <bookViews>
    <workbookView xWindow="0" yWindow="0" windowWidth="0" windowHeight="0" xr2:uid="{00000000-000D-0000-FFFF-FFFF00000000}"/>
  </bookViews>
  <sheets>
    <sheet name="Mẫu" sheetId="2" r:id="rId1"/>
    <sheet name="Phân bổ điể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iDNWK3bBpAVPFg0aSf6hm4DXavftpqXUAvGzGPgyPU="/>
    </ext>
  </extLst>
</workbook>
</file>

<file path=xl/calcChain.xml><?xml version="1.0" encoding="utf-8"?>
<calcChain xmlns="http://schemas.openxmlformats.org/spreadsheetml/2006/main">
  <c r="E14" i="2" l="1"/>
  <c r="E15" i="2"/>
  <c r="E25" i="2"/>
  <c r="E24" i="2"/>
  <c r="E23" i="2"/>
  <c r="E22" i="2"/>
  <c r="E21" i="2"/>
  <c r="E20" i="2"/>
  <c r="E19" i="2"/>
  <c r="E18" i="2"/>
  <c r="E17" i="2"/>
  <c r="E16" i="2"/>
  <c r="E13" i="2"/>
  <c r="E12" i="2"/>
  <c r="E11" i="2"/>
  <c r="E10" i="2"/>
  <c r="E9" i="2"/>
  <c r="E8" i="2"/>
  <c r="C6" i="3"/>
  <c r="C5" i="3"/>
  <c r="C4" i="3"/>
  <c r="C3" i="3"/>
  <c r="C2" i="3"/>
  <c r="F8" i="2"/>
  <c r="B5" i="2"/>
</calcChain>
</file>

<file path=xl/sharedStrings.xml><?xml version="1.0" encoding="utf-8"?>
<sst xmlns="http://schemas.openxmlformats.org/spreadsheetml/2006/main" count="65" uniqueCount="48">
  <si>
    <t>Bảng chấm điểm buổi Demo Web Developer - Basic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</si>
  <si>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</si>
  <si>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</si>
  <si>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</si>
  <si>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</si>
  <si>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</si>
  <si>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</si>
  <si>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</si>
  <si>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</si>
  <si>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</si>
  <si>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</si>
  <si>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</si>
  <si>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</si>
  <si>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t>Tư duy máy tính, tư duy thuật toán</t>
    </r>
    <r>
      <rPr>
        <sz val="10"/>
        <color rgb="FF000000"/>
        <rFont val="Exo"/>
        <charset val="1"/>
      </rPr>
      <t xml:space="preserve">
(1,5 điểm)</t>
    </r>
  </si>
  <si>
    <t>Đầy đủ 3 phần: header - body - footer cho mỗi webpage</t>
  </si>
  <si>
    <t>Tốt</t>
  </si>
  <si>
    <t>Bố cục đáp ứng đa thiết bị (Tối thiểu trang chủ phải được responsive)</t>
  </si>
  <si>
    <t>Thiết kế bố cục phù hợp có phân chia theo từng thể loại tin tức</t>
  </si>
  <si>
    <t>Hiệu ứng nổi bật: zoom ảnh khi click chuột, hover tiêu đề, dropdown menu, hiệu ứng chuyển trang</t>
  </si>
  <si>
    <t>Thanh navigation đa dạng</t>
  </si>
  <si>
    <t>Trình bày trang con chi tiết một tin tức trong website</t>
  </si>
  <si>
    <r>
      <t>Tư duy sáng tạo</t>
    </r>
    <r>
      <rPr>
        <sz val="10"/>
        <color rgb="FF000000"/>
        <rFont val="Exo"/>
        <charset val="1"/>
      </rPr>
      <t xml:space="preserve">
(1 điểm)</t>
    </r>
  </si>
  <si>
    <t>Nội dung độc đáo, sáng tạo. Bố cục rõ ràng, hình ảnh, màu sắc đẹp mắt (có sử dụng icon, mã màu RGB, Hex code..)</t>
  </si>
  <si>
    <r>
      <rPr>
        <sz val="10"/>
        <color rgb="FF000000"/>
        <rFont val="Exo"/>
      </rPr>
      <t>Ý tưởng được PH đánh giá "thích" (</t>
    </r>
    <r>
      <rPr>
        <b/>
        <sz val="10"/>
        <color rgb="FF000000"/>
        <rFont val="Exo"/>
      </rPr>
      <t>Đánh giá từ PH</t>
    </r>
    <r>
      <rPr>
        <sz val="10"/>
        <color rgb="FF000000"/>
        <rFont val="Exo"/>
      </rPr>
      <t>)</t>
    </r>
  </si>
  <si>
    <t>Trang web có giá trị thực tế, truyền tải thông tin đúng đắn và có ý nghĩa trong đời sống</t>
  </si>
  <si>
    <r>
      <t>Kỹ năng giao tiếp, hợp tác</t>
    </r>
    <r>
      <rPr>
        <sz val="10"/>
        <color rgb="FF000000"/>
        <rFont val="Exo"/>
        <charset val="1"/>
      </rPr>
      <t xml:space="preserve">
(0,5 điểm)</t>
    </r>
  </si>
  <si>
    <t>Tự tin trình bày dự án rõ ràng, mạch lạc, có tương tác với các bạn khác</t>
  </si>
  <si>
    <t>Có thái độ tốt và đánh giá được sản phẩm sau khi nhận góp ý từ BGK</t>
  </si>
  <si>
    <r>
      <t>Giải quyết vấn đề</t>
    </r>
    <r>
      <rPr>
        <sz val="10"/>
        <color rgb="FF000000"/>
        <rFont val="Exo"/>
        <charset val="1"/>
      </rPr>
      <t xml:space="preserve">
(1 điểm)</t>
    </r>
  </si>
  <si>
    <t>Xác định các vấn đề xã hội và phân loại, tối ưu các nội dung hiển thị</t>
  </si>
  <si>
    <t>Xây dựng giao diện cơ bản của hệ thống quản lý tin tức (CMS) đáp ứng đúng yêu cầu ứng dụng trong lĩnh vực tin tức</t>
  </si>
  <si>
    <t>Trả lời tốt các vấn đề mà BGK đặt ra về cách lập trình dự án</t>
  </si>
  <si>
    <r>
      <t>Kỹ năng sử dụng máy tính</t>
    </r>
    <r>
      <rPr>
        <sz val="10"/>
        <color rgb="FF000000"/>
        <rFont val="Exo"/>
        <charset val="1"/>
      </rPr>
      <t xml:space="preserve">
(1,0 điểm)</t>
    </r>
  </si>
  <si>
    <t>Quản lý tốt các tài nguyên của dự án (lưu trữ hình ảnh, đặt tên file, ...)</t>
  </si>
  <si>
    <t>Thiết kế bài trình chiếu có hiệu ứng sinh động, không có lỗi định dạng</t>
  </si>
  <si>
    <t>Bài trình chiếu mô tả được nội dung của dự án, hỗ trợ tốt cho việc thuyết trình</t>
  </si>
  <si>
    <t>Ứng dụng ít nhất 1 tính năng hỗ trợ của AI trong sản phẩm: chatbox, gợi ý giao diện website..</t>
  </si>
  <si>
    <t>Nhận xét</t>
  </si>
  <si>
    <t>BGK1</t>
  </si>
  <si>
    <t>BGK2</t>
  </si>
  <si>
    <t>LOs</t>
  </si>
  <si>
    <t>Tổng điểm</t>
  </si>
  <si>
    <t>Tỉ trọng</t>
  </si>
  <si>
    <t>Tư duy thuật toán, tư duy máy tính</t>
  </si>
  <si>
    <t>Kỹ năng sử dụng máy tính</t>
  </si>
  <si>
    <t>Tư duy sáng tạo</t>
  </si>
  <si>
    <t>Giải quyết vấn đề</t>
  </si>
  <si>
    <t>Thể hiện khả năng giao tiếp,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</si>
</sst>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23">
    <font>
      <sz val="10"/>
      <color rgb="FF000000"/>
      <name val="Arial"/>
      <scheme val="minor"/>
    </font>
    <font>
      <sz val="10"/>
      <color theme="1"/>
      <name val="Exo"/>
    </font>
    <font>
      <b/>
      <sz val="12"/>
      <color rgb="FFFFFFFF"/>
      <name val="Exo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3"/>
      <color rgb="FFFFFFFF"/>
      <name val="Exo"/>
    </font>
    <font>
      <b/>
      <sz val="13"/>
      <color rgb="FFCC0000"/>
      <name val="Exo"/>
    </font>
    <font>
      <b/>
      <sz val="10"/>
      <color theme="1"/>
      <name val="Exo"/>
    </font>
    <font>
      <b/>
      <sz val="10"/>
      <color rgb="FF000000"/>
      <name val="Exo"/>
    </font>
    <font>
      <b/>
      <sz val="26"/>
      <color rgb="FFCC0000"/>
      <name val="Exo"/>
    </font>
    <font>
      <b/>
      <sz val="11"/>
      <color rgb="FFCC0000"/>
      <name val="Exo"/>
    </font>
    <font>
      <sz val="11"/>
      <color theme="1"/>
      <name val="Exo"/>
    </font>
    <font>
      <b/>
      <sz val="11"/>
      <color rgb="FF000000"/>
      <name val="Exo"/>
    </font>
    <font>
      <sz val="10"/>
      <color theme="1"/>
      <name val="Arial"/>
    </font>
    <font>
      <b/>
      <sz val="13"/>
      <color theme="1"/>
      <name val="Exo"/>
    </font>
    <font>
      <b/>
      <sz val="10"/>
      <color theme="1"/>
      <name val="Arial"/>
    </font>
    <font>
      <sz val="10"/>
      <color rgb="FF000000"/>
      <name val="Exo"/>
      <charset val="1"/>
    </font>
    <font>
      <b/>
      <sz val="10"/>
      <color rgb="FF000000"/>
      <name val="Exo"/>
      <charset val="1"/>
    </font>
    <font>
      <b/>
      <sz val="12"/>
      <color rgb="FFFFFFFF"/>
      <name val="Aptos Narrow"/>
    </font>
    <font>
      <b/>
      <sz val="10"/>
      <color rgb="FFFFFFFF"/>
      <name val="Aptos Narrow"/>
    </font>
    <font>
      <sz val="10"/>
      <name val="Aptos Narrow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5" fontId="12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9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9" fontId="14" fillId="0" borderId="1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6" xfId="0" applyFont="1" applyBorder="1"/>
    <xf numFmtId="0" fontId="3" fillId="0" borderId="6" xfId="0" applyFont="1" applyBorder="1"/>
    <xf numFmtId="0" fontId="15" fillId="0" borderId="12" xfId="0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vertical="center" wrapText="1" readingOrder="1"/>
    </xf>
    <xf numFmtId="4" fontId="1" fillId="0" borderId="3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vertical="center" wrapText="1" readingOrder="1"/>
    </xf>
    <xf numFmtId="4" fontId="1" fillId="0" borderId="8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wrapText="1" readingOrder="1"/>
    </xf>
    <xf numFmtId="0" fontId="17" fillId="0" borderId="13" xfId="0" applyFont="1" applyBorder="1" applyAlignment="1">
      <alignment wrapText="1" readingOrder="1"/>
    </xf>
    <xf numFmtId="3" fontId="19" fillId="3" borderId="6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readingOrder="1"/>
    </xf>
    <xf numFmtId="4" fontId="22" fillId="0" borderId="1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 readingOrder="1"/>
    </xf>
    <xf numFmtId="4" fontId="9" fillId="0" borderId="6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18" fillId="0" borderId="5" xfId="0" applyFont="1" applyBorder="1" applyAlignment="1">
      <alignment horizontal="center" vertical="center" wrapText="1" readingOrder="1"/>
    </xf>
    <xf numFmtId="0" fontId="18" fillId="0" borderId="9" xfId="0" applyFont="1" applyBorder="1" applyAlignment="1">
      <alignment horizontal="center" vertical="center" wrapText="1" readingOrder="1"/>
    </xf>
    <xf numFmtId="4" fontId="2" fillId="3" borderId="4" xfId="0" applyNumberFormat="1" applyFont="1" applyFill="1" applyBorder="1" applyAlignment="1">
      <alignment horizontal="center" vertical="center" wrapText="1"/>
    </xf>
    <xf numFmtId="165" fontId="19" fillId="3" borderId="5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64" fontId="12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0" fillId="0" borderId="0" xfId="0" applyAlignment="1"/>
    <xf numFmtId="0" fontId="21" fillId="0" borderId="8" xfId="0" applyFont="1" applyBorder="1" applyAlignment="1"/>
    <xf numFmtId="0" fontId="3" fillId="0" borderId="7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9"/>
  <sheetViews>
    <sheetView tabSelected="1" topLeftCell="A9" workbookViewId="0">
      <selection activeCell="B12" sqref="B12"/>
    </sheetView>
  </sheetViews>
  <sheetFormatPr defaultColWidth="12.5703125" defaultRowHeight="15" customHeight="1"/>
  <cols>
    <col min="1" max="1" width="22.28515625" style="19" customWidth="1"/>
    <col min="2" max="2" width="61.140625" style="19" customWidth="1"/>
    <col min="3" max="3" width="9.85546875" style="19" customWidth="1"/>
    <col min="4" max="4" width="23.28515625" style="19" bestFit="1" customWidth="1"/>
    <col min="5" max="5" width="12.7109375" style="19" customWidth="1"/>
    <col min="6" max="6" width="13.28515625" style="19" customWidth="1"/>
    <col min="7" max="8" width="8.7109375" customWidth="1"/>
  </cols>
  <sheetData>
    <row r="1" spans="1:9" ht="42" customHeight="1">
      <c r="A1" s="54" t="s">
        <v>0</v>
      </c>
      <c r="B1" s="58"/>
      <c r="C1" s="58"/>
      <c r="D1" s="58"/>
      <c r="E1" s="58"/>
      <c r="F1" s="58"/>
      <c r="G1" s="58"/>
      <c r="H1" s="58"/>
      <c r="I1" s="58"/>
    </row>
    <row r="2" spans="1:9" ht="26.25" customHeight="1">
      <c r="A2" s="1" t="s">
        <v>1</v>
      </c>
      <c r="B2" s="55" t="s">
        <v>2</v>
      </c>
      <c r="C2" s="58"/>
      <c r="E2" s="3"/>
      <c r="F2" s="2"/>
      <c r="G2" s="2"/>
      <c r="H2" s="2"/>
      <c r="I2" s="2"/>
    </row>
    <row r="3" spans="1:9" ht="26.25" customHeight="1">
      <c r="A3" s="1" t="s">
        <v>3</v>
      </c>
      <c r="B3" s="56">
        <v>45414</v>
      </c>
      <c r="C3" s="58"/>
      <c r="E3" s="3"/>
      <c r="F3" s="4"/>
      <c r="G3" s="4"/>
      <c r="H3" s="4"/>
      <c r="I3" s="4"/>
    </row>
    <row r="4" spans="1:9" ht="26.25" customHeight="1">
      <c r="A4" s="1" t="s">
        <v>4</v>
      </c>
      <c r="B4" s="56">
        <v>45421</v>
      </c>
      <c r="C4" s="58"/>
      <c r="E4" s="3"/>
      <c r="F4" s="4"/>
      <c r="G4" s="4"/>
      <c r="H4" s="4"/>
      <c r="I4" s="4"/>
    </row>
    <row r="5" spans="1:9" ht="26.25" customHeight="1">
      <c r="A5" s="1" t="s">
        <v>5</v>
      </c>
      <c r="B5" s="57" t="str">
        <f>ROUND(F8,3) &amp;" / 5"</f>
        <v>5 / 5</v>
      </c>
      <c r="C5" s="58"/>
      <c r="E5" s="6"/>
      <c r="F5" s="5"/>
      <c r="G5" s="5"/>
      <c r="H5" s="5"/>
      <c r="I5" s="5"/>
    </row>
    <row r="6" spans="1:9" ht="36" customHeight="1">
      <c r="A6" s="45" t="s">
        <v>6</v>
      </c>
      <c r="B6" s="45" t="s">
        <v>7</v>
      </c>
      <c r="C6" s="49" t="s">
        <v>8</v>
      </c>
      <c r="D6" s="31" t="s">
        <v>9</v>
      </c>
      <c r="E6" s="50" t="s">
        <v>10</v>
      </c>
      <c r="F6" s="53" t="s">
        <v>11</v>
      </c>
    </row>
    <row r="7" spans="1:9" ht="25.5" customHeight="1">
      <c r="A7" s="46"/>
      <c r="B7" s="46"/>
      <c r="C7" s="46"/>
      <c r="D7" s="32" t="s">
        <v>12</v>
      </c>
      <c r="E7" s="59"/>
      <c r="F7" s="46"/>
    </row>
    <row r="8" spans="1:9" ht="24" customHeight="1">
      <c r="A8" s="51" t="s">
        <v>13</v>
      </c>
      <c r="B8" s="25" t="s">
        <v>14</v>
      </c>
      <c r="C8" s="26">
        <v>0.25</v>
      </c>
      <c r="D8" s="33" t="s">
        <v>15</v>
      </c>
      <c r="E8" s="34">
        <f>IF(D8="Chưa đạt", 0, IF(D8="Hoàn thành", C8/2, C8))</f>
        <v>0.25</v>
      </c>
      <c r="F8" s="38">
        <f>SUM(E8:E59)</f>
        <v>5</v>
      </c>
    </row>
    <row r="9" spans="1:9" ht="24" customHeight="1">
      <c r="A9" s="47"/>
      <c r="B9" s="27" t="s">
        <v>16</v>
      </c>
      <c r="C9" s="28">
        <v>0.25</v>
      </c>
      <c r="D9" s="33" t="s">
        <v>15</v>
      </c>
      <c r="E9" s="34">
        <f t="shared" ref="E9:E25" si="0">IF(D9="Chưa đạt", 0, IF(D9="Hoàn thành", C9/2, C9))</f>
        <v>0.25</v>
      </c>
      <c r="F9" s="39"/>
    </row>
    <row r="10" spans="1:9" ht="24" customHeight="1">
      <c r="A10" s="47"/>
      <c r="B10" s="27" t="s">
        <v>17</v>
      </c>
      <c r="C10" s="28">
        <v>0.25</v>
      </c>
      <c r="D10" s="33" t="s">
        <v>15</v>
      </c>
      <c r="E10" s="34">
        <f t="shared" si="0"/>
        <v>0.25</v>
      </c>
      <c r="F10" s="39"/>
    </row>
    <row r="11" spans="1:9" ht="24" customHeight="1">
      <c r="A11" s="47"/>
      <c r="B11" s="27" t="s">
        <v>18</v>
      </c>
      <c r="C11" s="28">
        <v>0.25</v>
      </c>
      <c r="D11" s="33" t="s">
        <v>15</v>
      </c>
      <c r="E11" s="34">
        <f t="shared" si="0"/>
        <v>0.25</v>
      </c>
      <c r="F11" s="39"/>
    </row>
    <row r="12" spans="1:9" ht="24" customHeight="1">
      <c r="A12" s="47"/>
      <c r="B12" s="27" t="s">
        <v>19</v>
      </c>
      <c r="C12" s="28">
        <v>0.25</v>
      </c>
      <c r="D12" s="33" t="s">
        <v>15</v>
      </c>
      <c r="E12" s="34">
        <f t="shared" si="0"/>
        <v>0.25</v>
      </c>
      <c r="F12" s="39"/>
    </row>
    <row r="13" spans="1:9" ht="24" customHeight="1">
      <c r="A13" s="48"/>
      <c r="B13" s="27" t="s">
        <v>20</v>
      </c>
      <c r="C13" s="28">
        <v>0.25</v>
      </c>
      <c r="D13" s="33" t="s">
        <v>15</v>
      </c>
      <c r="E13" s="34">
        <f t="shared" si="0"/>
        <v>0.25</v>
      </c>
      <c r="F13" s="39"/>
    </row>
    <row r="14" spans="1:9" ht="27.75">
      <c r="A14" s="51" t="s">
        <v>21</v>
      </c>
      <c r="B14" s="27" t="s">
        <v>22</v>
      </c>
      <c r="C14" s="28">
        <v>0.25</v>
      </c>
      <c r="D14" s="33" t="s">
        <v>15</v>
      </c>
      <c r="E14" s="34">
        <f t="shared" si="0"/>
        <v>0.25</v>
      </c>
      <c r="F14" s="39"/>
    </row>
    <row r="15" spans="1:9" ht="24" customHeight="1">
      <c r="A15" s="47"/>
      <c r="B15" s="35" t="s">
        <v>23</v>
      </c>
      <c r="C15" s="28">
        <v>0.5</v>
      </c>
      <c r="D15" s="33" t="s">
        <v>15</v>
      </c>
      <c r="E15" s="34">
        <f t="shared" si="0"/>
        <v>0.5</v>
      </c>
      <c r="F15" s="39"/>
    </row>
    <row r="16" spans="1:9" ht="24" customHeight="1">
      <c r="A16" s="48"/>
      <c r="B16" s="35" t="s">
        <v>24</v>
      </c>
      <c r="C16" s="28">
        <v>0.25</v>
      </c>
      <c r="D16" s="33" t="s">
        <v>15</v>
      </c>
      <c r="E16" s="34">
        <f t="shared" si="0"/>
        <v>0.25</v>
      </c>
      <c r="F16" s="39"/>
    </row>
    <row r="17" spans="1:9" ht="24" customHeight="1">
      <c r="A17" s="47" t="s">
        <v>25</v>
      </c>
      <c r="B17" s="27" t="s">
        <v>26</v>
      </c>
      <c r="C17" s="28">
        <v>0.25</v>
      </c>
      <c r="D17" s="33" t="s">
        <v>15</v>
      </c>
      <c r="E17" s="34">
        <f t="shared" si="0"/>
        <v>0.25</v>
      </c>
      <c r="F17" s="39"/>
    </row>
    <row r="18" spans="1:9" ht="24" customHeight="1">
      <c r="A18" s="47"/>
      <c r="B18" s="27" t="s">
        <v>27</v>
      </c>
      <c r="C18" s="28">
        <v>0.25</v>
      </c>
      <c r="D18" s="33" t="s">
        <v>15</v>
      </c>
      <c r="E18" s="34">
        <f t="shared" si="0"/>
        <v>0.25</v>
      </c>
      <c r="F18" s="39"/>
    </row>
    <row r="19" spans="1:9" ht="21.75" customHeight="1">
      <c r="A19" s="51" t="s">
        <v>28</v>
      </c>
      <c r="B19" s="29" t="s">
        <v>29</v>
      </c>
      <c r="C19" s="28">
        <v>0.25</v>
      </c>
      <c r="D19" s="33" t="s">
        <v>15</v>
      </c>
      <c r="E19" s="34">
        <f t="shared" si="0"/>
        <v>0.25</v>
      </c>
      <c r="F19" s="39"/>
    </row>
    <row r="20" spans="1:9" ht="30" customHeight="1">
      <c r="A20" s="47"/>
      <c r="B20" s="30" t="s">
        <v>30</v>
      </c>
      <c r="C20" s="28">
        <v>0.5</v>
      </c>
      <c r="D20" s="33" t="s">
        <v>15</v>
      </c>
      <c r="E20" s="34">
        <f t="shared" si="0"/>
        <v>0.5</v>
      </c>
      <c r="F20" s="39"/>
    </row>
    <row r="21" spans="1:9" ht="21.75" customHeight="1">
      <c r="A21" s="48"/>
      <c r="B21" s="30" t="s">
        <v>31</v>
      </c>
      <c r="C21" s="28">
        <v>0.25</v>
      </c>
      <c r="D21" s="33" t="s">
        <v>15</v>
      </c>
      <c r="E21" s="34">
        <f t="shared" si="0"/>
        <v>0.25</v>
      </c>
      <c r="F21" s="39"/>
    </row>
    <row r="22" spans="1:9" ht="21.75" customHeight="1">
      <c r="A22" s="47" t="s">
        <v>32</v>
      </c>
      <c r="B22" s="27" t="s">
        <v>33</v>
      </c>
      <c r="C22" s="28">
        <v>0.25</v>
      </c>
      <c r="D22" s="33" t="s">
        <v>15</v>
      </c>
      <c r="E22" s="34">
        <f t="shared" si="0"/>
        <v>0.25</v>
      </c>
      <c r="F22" s="39"/>
    </row>
    <row r="23" spans="1:9" ht="21.75" customHeight="1">
      <c r="A23" s="47"/>
      <c r="B23" s="27" t="s">
        <v>34</v>
      </c>
      <c r="C23" s="28">
        <v>0.25</v>
      </c>
      <c r="D23" s="33" t="s">
        <v>15</v>
      </c>
      <c r="E23" s="34">
        <f t="shared" si="0"/>
        <v>0.25</v>
      </c>
      <c r="F23" s="39"/>
    </row>
    <row r="24" spans="1:9" ht="21.75" customHeight="1">
      <c r="A24" s="47"/>
      <c r="B24" s="27" t="s">
        <v>35</v>
      </c>
      <c r="C24" s="28">
        <v>0.25</v>
      </c>
      <c r="D24" s="33" t="s">
        <v>15</v>
      </c>
      <c r="E24" s="34">
        <f t="shared" si="0"/>
        <v>0.25</v>
      </c>
      <c r="F24" s="39"/>
    </row>
    <row r="25" spans="1:9" ht="28.5" customHeight="1">
      <c r="A25" s="48"/>
      <c r="B25" s="27" t="s">
        <v>36</v>
      </c>
      <c r="C25" s="28">
        <v>0.25</v>
      </c>
      <c r="D25" s="33" t="s">
        <v>15</v>
      </c>
      <c r="E25" s="34">
        <f t="shared" si="0"/>
        <v>0.25</v>
      </c>
      <c r="F25" s="40"/>
      <c r="H25" s="8"/>
      <c r="I25" s="8"/>
    </row>
    <row r="26" spans="1:9" ht="21.75" customHeight="1">
      <c r="A26" s="20"/>
      <c r="B26" s="23"/>
      <c r="C26" s="23"/>
      <c r="D26" s="23"/>
      <c r="E26" s="24"/>
      <c r="F26" s="37"/>
      <c r="G26" s="8"/>
      <c r="H26" s="8"/>
      <c r="I26" s="8"/>
    </row>
    <row r="27" spans="1:9" ht="21.75" customHeight="1">
      <c r="B27" s="52" t="s">
        <v>37</v>
      </c>
      <c r="C27" s="60"/>
      <c r="D27" s="60"/>
      <c r="E27" s="60"/>
      <c r="F27" s="36"/>
      <c r="G27" s="8"/>
      <c r="H27" s="8"/>
      <c r="I27" s="9"/>
    </row>
    <row r="28" spans="1:9" ht="21.75" customHeight="1">
      <c r="B28" s="16" t="s">
        <v>38</v>
      </c>
      <c r="C28" s="41" t="s">
        <v>39</v>
      </c>
      <c r="D28" s="42"/>
      <c r="E28" s="43"/>
      <c r="F28" s="7"/>
      <c r="G28" s="8"/>
      <c r="H28" s="8"/>
      <c r="I28" s="9"/>
    </row>
    <row r="29" spans="1:9" ht="88.5" customHeight="1">
      <c r="B29" s="17"/>
      <c r="C29" s="44"/>
      <c r="D29" s="42"/>
      <c r="E29" s="43"/>
      <c r="F29" s="7"/>
      <c r="G29" s="8"/>
      <c r="H29" s="8"/>
      <c r="I29" s="9"/>
    </row>
    <row r="30" spans="1:9" ht="21.75" customHeight="1">
      <c r="B30" s="18"/>
      <c r="E30" s="10"/>
      <c r="F30" s="7"/>
      <c r="G30" s="8"/>
      <c r="H30" s="8"/>
      <c r="I30" s="9"/>
    </row>
    <row r="31" spans="1:9" ht="21.75" customHeight="1">
      <c r="B31" s="18"/>
      <c r="E31" s="10"/>
      <c r="F31" s="7"/>
      <c r="G31" s="8"/>
      <c r="H31" s="8"/>
      <c r="I31" s="9"/>
    </row>
    <row r="32" spans="1:9" ht="21.75" customHeight="1">
      <c r="B32" s="18"/>
      <c r="E32" s="10"/>
      <c r="F32" s="7"/>
      <c r="G32" s="8"/>
      <c r="H32" s="8"/>
      <c r="I32" s="9"/>
    </row>
    <row r="33" spans="1:9" ht="21.75" customHeight="1">
      <c r="B33" s="18"/>
      <c r="E33" s="10"/>
      <c r="F33" s="7"/>
      <c r="G33" s="8"/>
      <c r="H33" s="8"/>
      <c r="I33" s="9"/>
    </row>
    <row r="34" spans="1:9" ht="21.75" customHeight="1">
      <c r="B34" s="18"/>
      <c r="E34" s="10"/>
      <c r="F34" s="7"/>
      <c r="G34" s="8"/>
      <c r="H34" s="8"/>
      <c r="I34" s="9"/>
    </row>
    <row r="35" spans="1:9" ht="21.75" customHeight="1">
      <c r="B35" s="18"/>
      <c r="E35" s="10"/>
      <c r="F35" s="7"/>
      <c r="G35" s="8"/>
      <c r="H35" s="8"/>
      <c r="I35" s="9"/>
    </row>
    <row r="36" spans="1:9" ht="21.75" customHeight="1">
      <c r="B36" s="18"/>
      <c r="E36" s="10"/>
      <c r="F36" s="7"/>
      <c r="G36" s="8"/>
      <c r="H36" s="8"/>
      <c r="I36" s="9"/>
    </row>
    <row r="37" spans="1:9" ht="21.75" customHeight="1">
      <c r="B37" s="18"/>
      <c r="E37" s="10"/>
      <c r="F37" s="7"/>
      <c r="G37" s="8"/>
      <c r="H37" s="8"/>
      <c r="I37" s="9"/>
    </row>
    <row r="38" spans="1:9" ht="21.75" customHeight="1">
      <c r="A38" s="21"/>
      <c r="B38"/>
      <c r="C38"/>
      <c r="D38"/>
      <c r="E38" s="10"/>
      <c r="F38" s="7"/>
      <c r="G38" s="8"/>
      <c r="H38" s="8"/>
      <c r="I38" s="9"/>
    </row>
    <row r="39" spans="1:9" ht="21.75" customHeight="1">
      <c r="A39" s="22"/>
      <c r="B39"/>
      <c r="C39"/>
      <c r="D39"/>
      <c r="E39" s="10"/>
      <c r="F39" s="7"/>
      <c r="G39" s="8"/>
      <c r="H39" s="8"/>
      <c r="I39" s="9"/>
    </row>
    <row r="40" spans="1:9" ht="21.75" customHeight="1">
      <c r="A40" s="22"/>
      <c r="B40"/>
      <c r="C40"/>
      <c r="D40"/>
      <c r="E40" s="10"/>
      <c r="F40" s="7"/>
      <c r="G40" s="8"/>
      <c r="H40" s="8"/>
      <c r="I40" s="9"/>
    </row>
    <row r="41" spans="1:9" ht="21.75" customHeight="1">
      <c r="A41" s="22"/>
      <c r="B41"/>
      <c r="C41"/>
      <c r="D41"/>
      <c r="E41" s="10"/>
      <c r="F41" s="7"/>
      <c r="G41" s="8"/>
      <c r="H41" s="8"/>
      <c r="I41" s="9"/>
    </row>
    <row r="42" spans="1:9" ht="21.75" customHeight="1">
      <c r="A42" s="22"/>
      <c r="B42"/>
      <c r="C42"/>
      <c r="D42"/>
      <c r="E42" s="10"/>
      <c r="F42" s="7"/>
      <c r="G42" s="8"/>
      <c r="H42" s="8"/>
      <c r="I42" s="9"/>
    </row>
    <row r="43" spans="1:9" ht="21.75" customHeight="1">
      <c r="A43" s="22"/>
      <c r="B43"/>
      <c r="C43"/>
      <c r="D43"/>
      <c r="E43" s="10"/>
      <c r="F43" s="7"/>
      <c r="G43" s="8"/>
      <c r="H43" s="8"/>
      <c r="I43" s="9"/>
    </row>
    <row r="44" spans="1:9" ht="21.75" customHeight="1">
      <c r="A44" s="22"/>
      <c r="B44"/>
      <c r="C44"/>
      <c r="D44"/>
      <c r="E44" s="10"/>
      <c r="F44" s="7"/>
      <c r="G44" s="8"/>
      <c r="H44" s="8"/>
      <c r="I44" s="9"/>
    </row>
    <row r="45" spans="1:9" ht="21.75" customHeight="1">
      <c r="A45" s="22"/>
      <c r="B45"/>
      <c r="C45"/>
      <c r="D45"/>
      <c r="E45" s="10"/>
      <c r="F45" s="7"/>
      <c r="G45" s="8"/>
      <c r="H45" s="8"/>
      <c r="I45" s="9"/>
    </row>
    <row r="46" spans="1:9" ht="21.75" customHeight="1">
      <c r="A46" s="22"/>
      <c r="B46"/>
      <c r="C46"/>
      <c r="D46"/>
      <c r="E46" s="10"/>
      <c r="F46" s="7"/>
      <c r="G46" s="8"/>
      <c r="H46" s="8"/>
      <c r="I46" s="9"/>
    </row>
    <row r="47" spans="1:9" ht="21.75" customHeight="1">
      <c r="A47" s="22"/>
      <c r="B47"/>
      <c r="C47"/>
      <c r="D47"/>
      <c r="E47" s="10"/>
      <c r="F47" s="7"/>
      <c r="G47" s="8"/>
      <c r="H47" s="8"/>
      <c r="I47" s="9"/>
    </row>
    <row r="48" spans="1:9" ht="21.75" customHeight="1">
      <c r="A48" s="22"/>
      <c r="B48"/>
      <c r="C48"/>
      <c r="D48"/>
      <c r="E48" s="10"/>
      <c r="F48" s="7"/>
      <c r="G48" s="8"/>
      <c r="H48" s="8"/>
      <c r="I48" s="9"/>
    </row>
    <row r="49" spans="1:9" ht="21.75" customHeight="1">
      <c r="A49" s="22"/>
      <c r="B49"/>
      <c r="C49"/>
      <c r="D49"/>
      <c r="E49" s="10"/>
      <c r="F49" s="7"/>
      <c r="G49" s="8"/>
      <c r="H49" s="8"/>
      <c r="I49" s="9"/>
    </row>
    <row r="50" spans="1:9" ht="21.75" customHeight="1">
      <c r="A50" s="22"/>
      <c r="B50"/>
      <c r="C50"/>
      <c r="D50"/>
      <c r="E50" s="10"/>
      <c r="F50" s="7"/>
      <c r="G50" s="8"/>
      <c r="H50" s="8"/>
      <c r="I50" s="9"/>
    </row>
    <row r="51" spans="1:9" ht="21.75" customHeight="1">
      <c r="A51" s="22"/>
      <c r="B51"/>
      <c r="C51"/>
      <c r="D51"/>
      <c r="E51" s="10"/>
      <c r="F51" s="7"/>
      <c r="G51" s="8"/>
      <c r="H51" s="8"/>
      <c r="I51" s="9"/>
    </row>
    <row r="52" spans="1:9" ht="21.75" customHeight="1">
      <c r="A52" s="22"/>
      <c r="B52"/>
      <c r="C52"/>
      <c r="D52"/>
      <c r="E52" s="10"/>
      <c r="F52" s="7"/>
      <c r="G52" s="8"/>
      <c r="H52" s="8"/>
      <c r="I52" s="9"/>
    </row>
    <row r="53" spans="1:9" ht="21.75" customHeight="1">
      <c r="A53" s="22"/>
      <c r="B53"/>
      <c r="C53"/>
      <c r="D53"/>
      <c r="E53" s="10"/>
      <c r="F53" s="7"/>
      <c r="G53" s="8"/>
      <c r="H53" s="8"/>
      <c r="I53" s="9"/>
    </row>
    <row r="54" spans="1:9" ht="21.75" customHeight="1">
      <c r="A54" s="22"/>
      <c r="B54"/>
      <c r="C54"/>
      <c r="D54"/>
      <c r="E54" s="10"/>
      <c r="F54" s="7"/>
      <c r="G54" s="8"/>
      <c r="H54" s="8"/>
      <c r="I54" s="9"/>
    </row>
    <row r="55" spans="1:9" ht="21.75" customHeight="1">
      <c r="A55" s="22"/>
      <c r="B55"/>
      <c r="C55"/>
      <c r="D55"/>
      <c r="E55" s="10"/>
      <c r="F55" s="7"/>
      <c r="G55" s="8"/>
      <c r="H55" s="8"/>
      <c r="I55" s="9"/>
    </row>
    <row r="56" spans="1:9" ht="21.75" customHeight="1">
      <c r="A56" s="22"/>
      <c r="B56"/>
      <c r="C56"/>
      <c r="D56"/>
      <c r="E56" s="10"/>
      <c r="F56" s="7"/>
      <c r="G56" s="8"/>
      <c r="H56" s="8"/>
      <c r="I56" s="9"/>
    </row>
    <row r="57" spans="1:9" ht="21.75" customHeight="1">
      <c r="A57" s="22"/>
      <c r="B57"/>
      <c r="C57"/>
      <c r="D57"/>
      <c r="E57" s="10"/>
      <c r="F57" s="7"/>
      <c r="G57" s="8"/>
      <c r="H57" s="8"/>
      <c r="I57" s="9"/>
    </row>
    <row r="58" spans="1:9" ht="21.75" customHeight="1">
      <c r="A58" s="22"/>
      <c r="B58"/>
      <c r="C58"/>
      <c r="D58"/>
      <c r="E58" s="10"/>
      <c r="F58" s="7"/>
      <c r="G58" s="8"/>
      <c r="H58" s="8"/>
      <c r="I58" s="9"/>
    </row>
    <row r="59" spans="1:9" ht="21.75" customHeight="1">
      <c r="A59" s="22"/>
      <c r="B59"/>
      <c r="C59"/>
      <c r="D59"/>
      <c r="E59" s="10"/>
      <c r="F59" s="7"/>
      <c r="G59" s="8"/>
      <c r="H59" s="8"/>
      <c r="I59" s="9"/>
    </row>
  </sheetData>
  <mergeCells count="19">
    <mergeCell ref="A1:I1"/>
    <mergeCell ref="B2:C2"/>
    <mergeCell ref="B3:C3"/>
    <mergeCell ref="B4:C4"/>
    <mergeCell ref="B5:C5"/>
    <mergeCell ref="F8:F25"/>
    <mergeCell ref="C28:E28"/>
    <mergeCell ref="C29:E29"/>
    <mergeCell ref="A6:A7"/>
    <mergeCell ref="B6:B7"/>
    <mergeCell ref="A22:A25"/>
    <mergeCell ref="C6:C7"/>
    <mergeCell ref="E6:E7"/>
    <mergeCell ref="A8:A13"/>
    <mergeCell ref="A14:A16"/>
    <mergeCell ref="A17:A18"/>
    <mergeCell ref="A19:A21"/>
    <mergeCell ref="B27:E27"/>
    <mergeCell ref="F6:F7"/>
  </mergeCells>
  <conditionalFormatting sqref="G1:G5 G27:G59">
    <cfRule type="containsText" dxfId="1" priority="4" operator="containsText" text="Check">
      <formula>NOT(ISERROR(SEARCH(("Check"),(G6))))</formula>
    </cfRule>
  </conditionalFormatting>
  <conditionalFormatting sqref="E6:E25">
    <cfRule type="containsText" dxfId="0" priority="1" operator="containsText" text="Check">
      <formula>NOT(ISERROR(SEARCH(("Check"),(G6))))</formula>
    </cfRule>
  </conditionalFormatting>
  <dataValidations count="1">
    <dataValidation type="list" allowBlank="1" showInputMessage="1" showErrorMessage="1" sqref="D8:D25" xr:uid="{798F40EE-CA5E-49BE-A5E1-B0A844DE6C9E}">
      <formula1>"Chưa đạt,Hoàn thành,Tốt"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>
      <selection activeCell="B6" sqref="B6"/>
    </sheetView>
  </sheetViews>
  <sheetFormatPr defaultColWidth="12.5703125" defaultRowHeight="15" customHeight="1"/>
  <cols>
    <col min="1" max="1" width="31.42578125" customWidth="1"/>
  </cols>
  <sheetData>
    <row r="1" spans="1:3">
      <c r="A1" s="11" t="s">
        <v>40</v>
      </c>
      <c r="B1" s="11" t="s">
        <v>41</v>
      </c>
      <c r="C1" s="11" t="s">
        <v>42</v>
      </c>
    </row>
    <row r="2" spans="1:3">
      <c r="A2" s="12" t="s">
        <v>43</v>
      </c>
      <c r="B2" s="12">
        <v>1.5</v>
      </c>
      <c r="C2" s="13">
        <f t="shared" ref="C2:C6" si="0">B2/5</f>
        <v>0.3</v>
      </c>
    </row>
    <row r="3" spans="1:3">
      <c r="A3" s="14" t="s">
        <v>44</v>
      </c>
      <c r="B3" s="14">
        <v>1</v>
      </c>
      <c r="C3" s="13">
        <f t="shared" si="0"/>
        <v>0.2</v>
      </c>
    </row>
    <row r="4" spans="1:3">
      <c r="A4" s="14" t="s">
        <v>45</v>
      </c>
      <c r="B4" s="14">
        <v>1</v>
      </c>
      <c r="C4" s="13">
        <f t="shared" si="0"/>
        <v>0.2</v>
      </c>
    </row>
    <row r="5" spans="1:3">
      <c r="A5" s="14" t="s">
        <v>46</v>
      </c>
      <c r="B5" s="14">
        <v>1</v>
      </c>
      <c r="C5" s="13">
        <f t="shared" si="0"/>
        <v>0.2</v>
      </c>
    </row>
    <row r="6" spans="1:3">
      <c r="A6" s="12" t="s">
        <v>47</v>
      </c>
      <c r="B6" s="12">
        <v>0.5</v>
      </c>
      <c r="C6" s="15">
        <f t="shared" si="0"/>
        <v>0.1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Hiếu Nguyễn Trung</cp:lastModifiedBy>
  <cp:revision/>
  <dcterms:created xsi:type="dcterms:W3CDTF">2024-05-28T09:08:17Z</dcterms:created>
  <dcterms:modified xsi:type="dcterms:W3CDTF">2025-02-13T09:19:43Z</dcterms:modified>
  <cp:category/>
  <cp:contentStatus/>
</cp:coreProperties>
</file>