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xr:revisionPtr revIDLastSave="177" documentId="11_97515013DF740BC786648A351DBCD505DB917222" xr6:coauthVersionLast="47" xr6:coauthVersionMax="47" xr10:uidLastSave="{F54BC6AD-9685-4FF0-884D-E5A4BDE0C416}"/>
  <bookViews>
    <workbookView xWindow="0" yWindow="0" windowWidth="0" windowHeight="0" xr2:uid="{00000000-000D-0000-FFFF-FFFF00000000}"/>
  </bookViews>
  <sheets>
    <sheet name="Barem" sheetId="2" r:id="rId1"/>
    <sheet name="Phân bổ điể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IqoDz4imCZGMQuWjj1pxK28NJg0rAeSy1OyXbBHSAE="/>
    </ext>
  </extLst>
</workbook>
</file>

<file path=xl/calcChain.xml><?xml version="1.0" encoding="utf-8"?>
<calcChain xmlns="http://schemas.openxmlformats.org/spreadsheetml/2006/main">
  <c r="E20" i="2" l="1"/>
  <c r="E21" i="2"/>
  <c r="E22" i="2"/>
  <c r="E23" i="2"/>
  <c r="E24" i="2"/>
  <c r="E25" i="2"/>
  <c r="E26" i="2"/>
  <c r="E9" i="2"/>
  <c r="E10" i="2"/>
  <c r="E11" i="2"/>
  <c r="E12" i="2"/>
  <c r="E13" i="2"/>
  <c r="E14" i="2"/>
  <c r="E15" i="2"/>
  <c r="E16" i="2"/>
  <c r="E17" i="2"/>
  <c r="E18" i="2"/>
  <c r="E19" i="2"/>
  <c r="E8" i="2"/>
  <c r="F8" i="2"/>
  <c r="C6" i="3"/>
  <c r="C5" i="3"/>
  <c r="C4" i="3"/>
  <c r="C3" i="3"/>
  <c r="C2" i="3"/>
  <c r="B5" i="2"/>
</calcChain>
</file>

<file path=xl/sharedStrings.xml><?xml version="1.0" encoding="utf-8"?>
<sst xmlns="http://schemas.openxmlformats.org/spreadsheetml/2006/main" count="67" uniqueCount="49">
  <si>
    <t>Bảng chấm điểm buổi demo Scratch Creator - Basic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</si>
  <si>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</si>
  <si>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</si>
  <si>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</si>
  <si>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</si>
  <si>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</si>
  <si>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</si>
  <si>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</si>
  <si>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</si>
  <si>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</si>
  <si>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</si>
  <si>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</si>
  <si>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</si>
  <si>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rPr>
        <b/>
        <sz val="10"/>
        <color rgb="FF000000"/>
        <rFont val="Aptos Display"/>
      </rPr>
      <t xml:space="preserve">Tư duy máy tính, tư duy thuật toán
</t>
    </r>
    <r>
      <rPr>
        <sz val="10"/>
        <color rgb="FF000000"/>
        <rFont val="Aptos Display"/>
      </rPr>
      <t>(2,5 điểm)</t>
    </r>
  </si>
  <si>
    <t>Tối ưu hiển thị nhân vật thông qua các trang phục của nhân vật</t>
  </si>
  <si>
    <t>Tốt</t>
  </si>
  <si>
    <t>Xử lý va chạm bằng các hiệu ứng phù hợp</t>
  </si>
  <si>
    <t>Dự án có hệ thống tính điểm, tính thành tích hợp lý</t>
  </si>
  <si>
    <t>Vận dụng vòng lặp với số lần biết trước phù hợp với ngữ cảnh lập trình</t>
  </si>
  <si>
    <t>Vận dụng vòng lặp liên tục phù hợp với ngữ cảnh lập trình</t>
  </si>
  <si>
    <t>Tối ưu các nhân vật trùng lặp bằng cơ chế nhân bản</t>
  </si>
  <si>
    <t>Xử lý thời điểm khởi tạo và xóa bản sao phù hợp</t>
  </si>
  <si>
    <t>Tối ưu cơ chế phát tin - nhận tin, hạn chế tin nhắn thừa và tin nhắn trùng lặp</t>
  </si>
  <si>
    <t>Giao diện intro chi tiết (Có giao diện bắt đầu, guide, setting, ...)</t>
  </si>
  <si>
    <t>Giao diện outtro phù hợp (background thua, nút replay, exit, ...)</t>
  </si>
  <si>
    <r>
      <rPr>
        <b/>
        <sz val="10"/>
        <color rgb="FF000000"/>
        <rFont val="Aptos Display"/>
      </rPr>
      <t xml:space="preserve">Tư duy sáng tạo
</t>
    </r>
    <r>
      <rPr>
        <sz val="10"/>
        <color rgb="FF000000"/>
        <rFont val="Aptos Display"/>
      </rPr>
      <t xml:space="preserve">(1 điểm)
</t>
    </r>
  </si>
  <si>
    <t>Ý tưởng có giá trị thực tế, mang thông điệp ý nghĩa trong cuộc sống (Đánh giá của BGK)</t>
  </si>
  <si>
    <t>Ý tưởng độc đáo, sáng tạo, hạn chế sử dụng lại ý tưởng của sản phẩm mẫu (Đánh giá của BGK)</t>
  </si>
  <si>
    <t>Ý tưởng được khán giả đón nhận</t>
  </si>
  <si>
    <r>
      <rPr>
        <b/>
        <sz val="10"/>
        <color rgb="FF000000"/>
        <rFont val="Aptos Display"/>
      </rPr>
      <t xml:space="preserve">Kỹ năng giao tiếp, hợp tác
</t>
    </r>
    <r>
      <rPr>
        <sz val="10"/>
        <color rgb="FF000000"/>
        <rFont val="Aptos Display"/>
      </rPr>
      <t>(0,5 điểm)</t>
    </r>
  </si>
  <si>
    <t>Tự tin trình bày dự án rõ ràng, mạch lạc, có tương tác với các bạn khác</t>
  </si>
  <si>
    <t>Có thái độ tốt và đánh giá được sản phẩm sau khi nhận góp ý từ BGK</t>
  </si>
  <si>
    <r>
      <t xml:space="preserve">Giải quyết vấn đề
</t>
    </r>
    <r>
      <rPr>
        <sz val="10"/>
        <color rgb="FF000000"/>
        <rFont val="Aptos Display"/>
      </rPr>
      <t>(0,5 điểm)</t>
    </r>
  </si>
  <si>
    <t>Trả lời tốt các vấn đề mà BGK đặt ra về cách lập trình dự án</t>
  </si>
  <si>
    <t>Trình bày được tính ứng dụng thực tế của dự án</t>
  </si>
  <si>
    <r>
      <rPr>
        <b/>
        <sz val="10"/>
        <color rgb="FF000000"/>
        <rFont val="Aptos Display"/>
      </rPr>
      <t xml:space="preserve">Kỹ năng sử dụng máy tính
</t>
    </r>
    <r>
      <rPr>
        <sz val="10"/>
        <color rgb="FF000000"/>
        <rFont val="Aptos Display"/>
      </rPr>
      <t>(0.5 điểm)</t>
    </r>
  </si>
  <si>
    <t>Thiết kế bài trình chiếu có hiệu ứng sinh động, không có lỗi định dạng</t>
  </si>
  <si>
    <t>Sử dụng công cụ AI, công cụ chỉnh sửa ảnh để thiết kế hình ảnh</t>
  </si>
  <si>
    <t>Nhận xét</t>
  </si>
  <si>
    <t>BGK1</t>
  </si>
  <si>
    <t>BGK2</t>
  </si>
  <si>
    <t>LOs</t>
  </si>
  <si>
    <t>Tổng điểm</t>
  </si>
  <si>
    <t>Tỉ trọng</t>
  </si>
  <si>
    <t>Tư duy thuật toán, tư duy máy tính</t>
  </si>
  <si>
    <t>Kỹ năng sử dụng máy tính</t>
  </si>
  <si>
    <t>Tư duy sáng tạo</t>
  </si>
  <si>
    <t>Giải quyết vấn đề</t>
  </si>
  <si>
    <t>Thể hiện khả năng giao tiếp,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</si>
</sst>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2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3"/>
      <color rgb="FFFFFFFF"/>
      <name val="Exo"/>
    </font>
    <font>
      <b/>
      <sz val="13"/>
      <color rgb="FFCC0000"/>
      <name val="Exo"/>
    </font>
    <font>
      <b/>
      <sz val="10"/>
      <color rgb="FF000000"/>
      <name val="Exo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26"/>
      <color rgb="FFCC0000"/>
      <name val="Aptos Display"/>
    </font>
    <font>
      <sz val="10"/>
      <color rgb="FF000000"/>
      <name val="Aptos Display"/>
    </font>
    <font>
      <b/>
      <sz val="11"/>
      <color rgb="FFCC0000"/>
      <name val="Aptos Display"/>
    </font>
    <font>
      <sz val="11"/>
      <color theme="1"/>
      <name val="Aptos Display"/>
    </font>
    <font>
      <b/>
      <sz val="11"/>
      <color rgb="FF000000"/>
      <name val="Aptos Display"/>
    </font>
    <font>
      <sz val="10"/>
      <name val="Aptos Display"/>
    </font>
    <font>
      <b/>
      <sz val="10"/>
      <color rgb="FF000000"/>
      <name val="Aptos Display"/>
    </font>
    <font>
      <b/>
      <sz val="20"/>
      <color rgb="FF000000"/>
      <name val="Aptos Display"/>
    </font>
    <font>
      <b/>
      <sz val="12"/>
      <color rgb="FFFFFFFF"/>
      <name val="Exo"/>
    </font>
    <font>
      <b/>
      <sz val="10"/>
      <color rgb="FFFFFFFF"/>
      <name val="Aptos Narrow"/>
    </font>
    <font>
      <sz val="10"/>
      <color rgb="FF000000"/>
      <name val="Aptos Narrow"/>
    </font>
    <font>
      <b/>
      <sz val="10"/>
      <color theme="1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4" fontId="6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9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9" fontId="7" fillId="0" borderId="1" xfId="0" applyNumberFormat="1" applyFont="1" applyBorder="1" applyAlignment="1">
      <alignment vertical="center"/>
    </xf>
    <xf numFmtId="0" fontId="11" fillId="0" borderId="0" xfId="0" applyFont="1"/>
    <xf numFmtId="0" fontId="11" fillId="4" borderId="1" xfId="0" applyFont="1" applyFill="1" applyBorder="1" applyAlignment="1">
      <alignment horizontal="left" vertical="center" wrapText="1"/>
    </xf>
    <xf numFmtId="4" fontId="11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4" fontId="11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12" fillId="2" borderId="9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11" fillId="0" borderId="8" xfId="0" applyFont="1" applyBorder="1"/>
    <xf numFmtId="14" fontId="13" fillId="2" borderId="8" xfId="0" applyNumberFormat="1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3" fontId="18" fillId="3" borderId="3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readingOrder="1"/>
    </xf>
    <xf numFmtId="4" fontId="20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165" fontId="18" fillId="3" borderId="14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4" fontId="18" fillId="3" borderId="14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left" vertical="center" wrapText="1"/>
    </xf>
    <xf numFmtId="0" fontId="13" fillId="2" borderId="11" xfId="0" applyFont="1" applyFill="1" applyBorder="1" applyAlignment="1">
      <alignment horizontal="left" vertical="center" wrapText="1"/>
    </xf>
    <xf numFmtId="0" fontId="13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4" fontId="13" fillId="2" borderId="10" xfId="0" applyNumberFormat="1" applyFont="1" applyFill="1" applyBorder="1" applyAlignment="1">
      <alignment horizontal="left" vertical="center" wrapText="1"/>
    </xf>
    <xf numFmtId="14" fontId="13" fillId="2" borderId="11" xfId="0" applyNumberFormat="1" applyFont="1" applyFill="1" applyBorder="1" applyAlignment="1">
      <alignment horizontal="left" vertical="center" wrapText="1"/>
    </xf>
    <xf numFmtId="14" fontId="13" fillId="2" borderId="12" xfId="0" applyNumberFormat="1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165" fontId="17" fillId="4" borderId="2" xfId="0" applyNumberFormat="1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/>
    <xf numFmtId="0" fontId="15" fillId="0" borderId="5" xfId="0" applyFont="1" applyBorder="1" applyAlignment="1"/>
    <xf numFmtId="0" fontId="15" fillId="0" borderId="4" xfId="0" applyFont="1" applyBorder="1" applyAlignment="1"/>
    <xf numFmtId="0" fontId="15" fillId="0" borderId="6" xfId="0" applyFont="1" applyBorder="1" applyAlignment="1"/>
    <xf numFmtId="0" fontId="15" fillId="0" borderId="7" xfId="0" applyFont="1" applyBorder="1" applyAlignment="1"/>
    <xf numFmtId="0" fontId="8" fillId="0" borderId="5" xfId="0" applyFont="1" applyBorder="1" applyAlignment="1"/>
    <xf numFmtId="0" fontId="0" fillId="0" borderId="0" xfId="0" applyAlignment="1"/>
    <xf numFmtId="0" fontId="1" fillId="0" borderId="5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9"/>
  <sheetViews>
    <sheetView tabSelected="1" workbookViewId="0">
      <selection activeCell="B19" sqref="B19"/>
    </sheetView>
  </sheetViews>
  <sheetFormatPr defaultColWidth="12.5703125" defaultRowHeight="15" customHeight="1"/>
  <cols>
    <col min="1" max="1" width="24.140625" customWidth="1"/>
    <col min="2" max="2" width="73.140625" customWidth="1"/>
    <col min="3" max="3" width="12.85546875" customWidth="1"/>
    <col min="4" max="4" width="23.28515625" bestFit="1" customWidth="1"/>
    <col min="5" max="5" width="16.28515625" customWidth="1"/>
    <col min="6" max="6" width="13.28515625" customWidth="1"/>
    <col min="7" max="8" width="8.7109375" customWidth="1"/>
    <col min="9" max="9" width="12.5703125" customWidth="1"/>
  </cols>
  <sheetData>
    <row r="1" spans="1:11" ht="42" customHeight="1">
      <c r="A1" s="41" t="s">
        <v>0</v>
      </c>
      <c r="B1" s="42"/>
      <c r="C1" s="42"/>
      <c r="D1" s="42"/>
      <c r="E1" s="42"/>
      <c r="F1" s="43"/>
      <c r="G1" s="22"/>
      <c r="H1" s="22"/>
      <c r="I1" s="22"/>
    </row>
    <row r="2" spans="1:11" ht="26.25" customHeight="1">
      <c r="A2" s="19" t="s">
        <v>1</v>
      </c>
      <c r="B2" s="44" t="s">
        <v>2</v>
      </c>
      <c r="C2" s="45"/>
      <c r="D2" s="45"/>
      <c r="E2" s="45"/>
      <c r="F2" s="46"/>
      <c r="G2" s="20"/>
      <c r="H2" s="20"/>
      <c r="I2" s="20"/>
    </row>
    <row r="3" spans="1:11" ht="26.25" customHeight="1">
      <c r="A3" s="21" t="s">
        <v>3</v>
      </c>
      <c r="B3" s="51">
        <v>45414</v>
      </c>
      <c r="C3" s="52"/>
      <c r="D3" s="52"/>
      <c r="E3" s="52"/>
      <c r="F3" s="53"/>
      <c r="G3" s="23"/>
      <c r="H3" s="23"/>
      <c r="I3" s="23"/>
    </row>
    <row r="4" spans="1:11" ht="26.25" customHeight="1">
      <c r="A4" s="21" t="s">
        <v>4</v>
      </c>
      <c r="B4" s="51">
        <v>45421</v>
      </c>
      <c r="C4" s="52"/>
      <c r="D4" s="52"/>
      <c r="E4" s="52"/>
      <c r="F4" s="53"/>
      <c r="G4" s="23"/>
      <c r="H4" s="23"/>
      <c r="I4" s="23"/>
      <c r="K4" s="18"/>
    </row>
    <row r="5" spans="1:11" ht="26.25" customHeight="1">
      <c r="A5" s="21" t="s">
        <v>5</v>
      </c>
      <c r="B5" s="54" t="str">
        <f>ROUND(F8,2) &amp;" / 5"</f>
        <v>5 / 5</v>
      </c>
      <c r="C5" s="55"/>
      <c r="D5" s="55"/>
      <c r="E5" s="55"/>
      <c r="F5" s="56"/>
      <c r="G5" s="24"/>
      <c r="H5" s="24"/>
      <c r="I5" s="24"/>
    </row>
    <row r="6" spans="1:11" ht="29.25" customHeight="1">
      <c r="A6" s="33" t="s">
        <v>6</v>
      </c>
      <c r="B6" s="34" t="s">
        <v>7</v>
      </c>
      <c r="C6" s="35" t="s">
        <v>8</v>
      </c>
      <c r="D6" s="25" t="s">
        <v>9</v>
      </c>
      <c r="E6" s="36" t="s">
        <v>10</v>
      </c>
      <c r="F6" s="31" t="s">
        <v>11</v>
      </c>
      <c r="G6" s="11"/>
      <c r="H6" s="11"/>
      <c r="I6" s="11"/>
    </row>
    <row r="7" spans="1:11" ht="29.25" customHeight="1">
      <c r="A7" s="60"/>
      <c r="B7" s="32"/>
      <c r="C7" s="32"/>
      <c r="D7" s="26" t="s">
        <v>12</v>
      </c>
      <c r="E7" s="32"/>
      <c r="F7" s="32"/>
      <c r="G7" s="11"/>
      <c r="H7" s="11"/>
      <c r="I7" s="11"/>
    </row>
    <row r="8" spans="1:11" ht="24" customHeight="1">
      <c r="A8" s="59" t="s">
        <v>13</v>
      </c>
      <c r="B8" s="12" t="s">
        <v>14</v>
      </c>
      <c r="C8" s="13">
        <v>0.25</v>
      </c>
      <c r="D8" s="27" t="s">
        <v>15</v>
      </c>
      <c r="E8" s="28">
        <f>IF(D8="Chưa đạt", 0, IF(D8="Hoàn thành", C8/2, C8))</f>
        <v>0.25</v>
      </c>
      <c r="F8" s="58">
        <f>SUM(E8:E26)</f>
        <v>5</v>
      </c>
      <c r="G8" s="11"/>
      <c r="H8" s="11"/>
      <c r="I8" s="11"/>
    </row>
    <row r="9" spans="1:11" ht="24" customHeight="1">
      <c r="A9" s="61"/>
      <c r="B9" s="12" t="s">
        <v>16</v>
      </c>
      <c r="C9" s="13">
        <v>0.25</v>
      </c>
      <c r="D9" s="27" t="s">
        <v>15</v>
      </c>
      <c r="E9" s="28">
        <f t="shared" ref="E9:E26" si="0">IF(D9="Chưa đạt", 0, IF(D9="Hoàn thành", C9/2, C9))</f>
        <v>0.25</v>
      </c>
      <c r="F9" s="62"/>
      <c r="G9" s="11"/>
      <c r="H9" s="11"/>
      <c r="I9" s="11"/>
    </row>
    <row r="10" spans="1:11" ht="24" customHeight="1">
      <c r="A10" s="61"/>
      <c r="B10" s="12" t="s">
        <v>17</v>
      </c>
      <c r="C10" s="13">
        <v>0.25</v>
      </c>
      <c r="D10" s="27" t="s">
        <v>15</v>
      </c>
      <c r="E10" s="28">
        <f t="shared" si="0"/>
        <v>0.25</v>
      </c>
      <c r="F10" s="62"/>
      <c r="G10" s="11"/>
      <c r="H10" s="11"/>
      <c r="I10" s="11"/>
    </row>
    <row r="11" spans="1:11" ht="24" customHeight="1">
      <c r="A11" s="61"/>
      <c r="B11" s="12" t="s">
        <v>18</v>
      </c>
      <c r="C11" s="13">
        <v>0.25</v>
      </c>
      <c r="D11" s="27" t="s">
        <v>15</v>
      </c>
      <c r="E11" s="28">
        <f t="shared" si="0"/>
        <v>0.25</v>
      </c>
      <c r="F11" s="62"/>
      <c r="G11" s="11"/>
      <c r="H11" s="11"/>
      <c r="I11" s="11"/>
    </row>
    <row r="12" spans="1:11" ht="24" customHeight="1">
      <c r="A12" s="61"/>
      <c r="B12" s="12" t="s">
        <v>19</v>
      </c>
      <c r="C12" s="13">
        <v>0.25</v>
      </c>
      <c r="D12" s="27" t="s">
        <v>15</v>
      </c>
      <c r="E12" s="28">
        <f t="shared" si="0"/>
        <v>0.25</v>
      </c>
      <c r="F12" s="62"/>
      <c r="G12" s="11"/>
      <c r="H12" s="11"/>
      <c r="I12" s="11"/>
    </row>
    <row r="13" spans="1:11" ht="24" customHeight="1">
      <c r="A13" s="61"/>
      <c r="B13" s="12" t="s">
        <v>20</v>
      </c>
      <c r="C13" s="13">
        <v>0.25</v>
      </c>
      <c r="D13" s="27" t="s">
        <v>15</v>
      </c>
      <c r="E13" s="28">
        <f t="shared" si="0"/>
        <v>0.25</v>
      </c>
      <c r="F13" s="62"/>
      <c r="G13" s="11"/>
      <c r="H13" s="11"/>
      <c r="I13" s="11"/>
    </row>
    <row r="14" spans="1:11" ht="24" customHeight="1">
      <c r="A14" s="61"/>
      <c r="B14" s="12" t="s">
        <v>21</v>
      </c>
      <c r="C14" s="13">
        <v>0.25</v>
      </c>
      <c r="D14" s="27" t="s">
        <v>15</v>
      </c>
      <c r="E14" s="28">
        <f t="shared" si="0"/>
        <v>0.25</v>
      </c>
      <c r="F14" s="62"/>
      <c r="G14" s="11"/>
      <c r="H14" s="11"/>
      <c r="I14" s="11"/>
    </row>
    <row r="15" spans="1:11" ht="24" customHeight="1">
      <c r="A15" s="61"/>
      <c r="B15" s="12" t="s">
        <v>22</v>
      </c>
      <c r="C15" s="13">
        <v>0.25</v>
      </c>
      <c r="D15" s="27" t="s">
        <v>15</v>
      </c>
      <c r="E15" s="28">
        <f t="shared" si="0"/>
        <v>0.25</v>
      </c>
      <c r="F15" s="62"/>
      <c r="G15" s="11"/>
      <c r="H15" s="11"/>
      <c r="I15" s="11"/>
    </row>
    <row r="16" spans="1:11" ht="24" customHeight="1">
      <c r="A16" s="61"/>
      <c r="B16" s="12" t="s">
        <v>23</v>
      </c>
      <c r="C16" s="13">
        <v>0.25</v>
      </c>
      <c r="D16" s="27" t="s">
        <v>15</v>
      </c>
      <c r="E16" s="28">
        <f t="shared" si="0"/>
        <v>0.25</v>
      </c>
      <c r="F16" s="62"/>
      <c r="G16" s="11"/>
      <c r="H16" s="11"/>
      <c r="I16" s="11"/>
    </row>
    <row r="17" spans="1:9" ht="24" customHeight="1">
      <c r="A17" s="63"/>
      <c r="B17" s="12" t="s">
        <v>24</v>
      </c>
      <c r="C17" s="13">
        <v>0.25</v>
      </c>
      <c r="D17" s="27" t="s">
        <v>15</v>
      </c>
      <c r="E17" s="28">
        <f t="shared" si="0"/>
        <v>0.25</v>
      </c>
      <c r="F17" s="62"/>
      <c r="G17" s="11"/>
      <c r="H17" s="11"/>
      <c r="I17" s="11"/>
    </row>
    <row r="18" spans="1:9" ht="24" customHeight="1">
      <c r="A18" s="30" t="s">
        <v>25</v>
      </c>
      <c r="B18" s="14" t="s">
        <v>26</v>
      </c>
      <c r="C18" s="13">
        <v>0.25</v>
      </c>
      <c r="D18" s="27" t="s">
        <v>15</v>
      </c>
      <c r="E18" s="28">
        <f t="shared" si="0"/>
        <v>0.25</v>
      </c>
      <c r="F18" s="62"/>
      <c r="G18" s="11"/>
      <c r="H18" s="11"/>
      <c r="I18" s="11"/>
    </row>
    <row r="19" spans="1:9" ht="24" customHeight="1">
      <c r="A19" s="39"/>
      <c r="B19" s="15" t="s">
        <v>27</v>
      </c>
      <c r="C19" s="13">
        <v>0.25</v>
      </c>
      <c r="D19" s="27" t="s">
        <v>15</v>
      </c>
      <c r="E19" s="28">
        <f t="shared" si="0"/>
        <v>0.25</v>
      </c>
      <c r="F19" s="62"/>
      <c r="G19" s="11"/>
      <c r="H19" s="11"/>
      <c r="I19" s="11"/>
    </row>
    <row r="20" spans="1:9" ht="24" customHeight="1">
      <c r="A20" s="40"/>
      <c r="B20" s="15" t="s">
        <v>28</v>
      </c>
      <c r="C20" s="13">
        <v>0.5</v>
      </c>
      <c r="D20" s="27" t="s">
        <v>15</v>
      </c>
      <c r="E20" s="28">
        <f t="shared" ref="E20" si="1">IF(D20="Chưa đạt", 0, IF(D20="Hoàn thành", C20/2, C20))</f>
        <v>0.5</v>
      </c>
      <c r="F20" s="62"/>
      <c r="G20" s="11"/>
      <c r="H20" s="11"/>
      <c r="I20" s="11"/>
    </row>
    <row r="21" spans="1:9" ht="21.75" customHeight="1">
      <c r="A21" s="37" t="s">
        <v>29</v>
      </c>
      <c r="B21" s="12" t="s">
        <v>30</v>
      </c>
      <c r="C21" s="13">
        <v>0.25</v>
      </c>
      <c r="D21" s="27" t="s">
        <v>15</v>
      </c>
      <c r="E21" s="28">
        <f t="shared" si="0"/>
        <v>0.25</v>
      </c>
      <c r="F21" s="62"/>
      <c r="G21" s="11"/>
      <c r="H21" s="11"/>
      <c r="I21" s="11"/>
    </row>
    <row r="22" spans="1:9" ht="21.75" customHeight="1">
      <c r="A22" s="64"/>
      <c r="B22" s="12" t="s">
        <v>31</v>
      </c>
      <c r="C22" s="13">
        <v>0.25</v>
      </c>
      <c r="D22" s="27" t="s">
        <v>15</v>
      </c>
      <c r="E22" s="28">
        <f t="shared" si="0"/>
        <v>0.25</v>
      </c>
      <c r="F22" s="62"/>
      <c r="G22" s="11"/>
      <c r="H22" s="11"/>
      <c r="I22" s="11"/>
    </row>
    <row r="23" spans="1:9" ht="21.75" customHeight="1">
      <c r="A23" s="30" t="s">
        <v>32</v>
      </c>
      <c r="B23" s="15" t="s">
        <v>33</v>
      </c>
      <c r="C23" s="13">
        <v>0.25</v>
      </c>
      <c r="D23" s="27" t="s">
        <v>15</v>
      </c>
      <c r="E23" s="28">
        <f t="shared" si="0"/>
        <v>0.25</v>
      </c>
      <c r="F23" s="62"/>
      <c r="G23" s="11"/>
      <c r="H23" s="11"/>
      <c r="I23" s="11"/>
    </row>
    <row r="24" spans="1:9" ht="21.75" customHeight="1">
      <c r="A24" s="64"/>
      <c r="B24" s="15" t="s">
        <v>34</v>
      </c>
      <c r="C24" s="13">
        <v>0.25</v>
      </c>
      <c r="D24" s="27" t="s">
        <v>15</v>
      </c>
      <c r="E24" s="28">
        <f t="shared" si="0"/>
        <v>0.25</v>
      </c>
      <c r="F24" s="62"/>
      <c r="G24" s="11"/>
      <c r="H24" s="11"/>
      <c r="I24" s="11"/>
    </row>
    <row r="25" spans="1:9" ht="21.75" customHeight="1">
      <c r="A25" s="37" t="s">
        <v>35</v>
      </c>
      <c r="B25" s="15" t="s">
        <v>36</v>
      </c>
      <c r="C25" s="13">
        <v>0.25</v>
      </c>
      <c r="D25" s="27" t="s">
        <v>15</v>
      </c>
      <c r="E25" s="28">
        <f t="shared" si="0"/>
        <v>0.25</v>
      </c>
      <c r="F25" s="62"/>
      <c r="G25" s="11"/>
      <c r="H25" s="11"/>
      <c r="I25" s="11"/>
    </row>
    <row r="26" spans="1:9" ht="21.75" customHeight="1">
      <c r="A26" s="38"/>
      <c r="B26" s="16" t="s">
        <v>37</v>
      </c>
      <c r="C26" s="17">
        <v>0.25</v>
      </c>
      <c r="D26" s="27" t="s">
        <v>15</v>
      </c>
      <c r="E26" s="28">
        <f t="shared" si="0"/>
        <v>0.25</v>
      </c>
      <c r="F26" s="62"/>
      <c r="G26" s="11"/>
      <c r="H26" s="11"/>
      <c r="I26" s="11"/>
    </row>
    <row r="27" spans="1:9" ht="21.75" customHeight="1">
      <c r="A27" s="57" t="s">
        <v>38</v>
      </c>
      <c r="B27" s="57"/>
      <c r="C27" s="57"/>
      <c r="D27" s="57"/>
      <c r="E27" s="57"/>
      <c r="F27" s="57"/>
      <c r="G27" s="2"/>
      <c r="H27" s="2"/>
      <c r="I27" s="3"/>
    </row>
    <row r="28" spans="1:9" ht="21.75" customHeight="1">
      <c r="A28" s="47" t="s">
        <v>39</v>
      </c>
      <c r="B28" s="47"/>
      <c r="C28" s="50" t="s">
        <v>40</v>
      </c>
      <c r="D28" s="50"/>
      <c r="E28" s="50"/>
      <c r="F28" s="50"/>
      <c r="G28" s="2"/>
      <c r="H28" s="2"/>
      <c r="I28" s="3"/>
    </row>
    <row r="29" spans="1:9" ht="88.5" customHeight="1">
      <c r="A29" s="48"/>
      <c r="B29" s="48"/>
      <c r="C29" s="49"/>
      <c r="D29" s="49"/>
      <c r="E29" s="49"/>
      <c r="F29" s="49"/>
      <c r="G29" s="2"/>
      <c r="H29" s="2"/>
      <c r="I29" s="3"/>
    </row>
    <row r="30" spans="1:9" ht="21.75" customHeight="1">
      <c r="B30" s="4"/>
      <c r="E30" s="5"/>
      <c r="F30" s="1"/>
      <c r="G30" s="2"/>
      <c r="H30" s="2"/>
      <c r="I30" s="3"/>
    </row>
    <row r="31" spans="1:9" ht="21.75" customHeight="1">
      <c r="B31" s="4"/>
      <c r="E31" s="5"/>
      <c r="F31" s="1"/>
      <c r="G31" s="2"/>
      <c r="H31" s="2"/>
      <c r="I31" s="3"/>
    </row>
    <row r="32" spans="1:9" ht="21.75" customHeight="1">
      <c r="B32" s="4"/>
      <c r="E32" s="5"/>
      <c r="F32" s="1"/>
      <c r="G32" s="2"/>
      <c r="H32" s="2"/>
      <c r="I32" s="3"/>
    </row>
    <row r="33" spans="1:9" ht="21.75" customHeight="1">
      <c r="B33" s="4"/>
      <c r="E33" s="5"/>
      <c r="F33" s="1"/>
      <c r="G33" s="2"/>
      <c r="H33" s="2"/>
      <c r="I33" s="3"/>
    </row>
    <row r="34" spans="1:9" ht="21.75" customHeight="1">
      <c r="B34" s="4"/>
      <c r="E34" s="5"/>
      <c r="F34" s="1"/>
      <c r="G34" s="2"/>
      <c r="H34" s="2"/>
      <c r="I34" s="3"/>
    </row>
    <row r="35" spans="1:9" ht="21.75" customHeight="1">
      <c r="B35" s="4"/>
      <c r="E35" s="5"/>
      <c r="F35" s="1"/>
      <c r="G35" s="2"/>
      <c r="H35" s="2"/>
      <c r="I35" s="3"/>
    </row>
    <row r="36" spans="1:9" ht="21.75" customHeight="1">
      <c r="B36" s="4"/>
      <c r="E36" s="5"/>
      <c r="F36" s="1"/>
      <c r="G36" s="2"/>
      <c r="H36" s="2"/>
      <c r="I36" s="3"/>
    </row>
    <row r="37" spans="1:9" ht="21.75" customHeight="1">
      <c r="B37" s="4"/>
      <c r="E37" s="5"/>
      <c r="F37" s="1"/>
      <c r="G37" s="2"/>
      <c r="H37" s="2"/>
      <c r="I37" s="3"/>
    </row>
    <row r="38" spans="1:9" ht="21.75" customHeight="1">
      <c r="A38" s="65"/>
      <c r="B38" s="66"/>
      <c r="C38" s="66"/>
      <c r="D38" s="66"/>
      <c r="E38" s="5"/>
      <c r="F38" s="1"/>
      <c r="G38" s="2"/>
      <c r="H38" s="2"/>
      <c r="I38" s="3"/>
    </row>
    <row r="39" spans="1:9" ht="21.75" customHeight="1">
      <c r="A39" s="67"/>
      <c r="B39" s="66"/>
      <c r="C39" s="66"/>
      <c r="D39" s="66"/>
      <c r="E39" s="5"/>
      <c r="F39" s="1"/>
      <c r="G39" s="2"/>
      <c r="H39" s="2"/>
      <c r="I39" s="3"/>
    </row>
    <row r="40" spans="1:9" ht="21.75" customHeight="1">
      <c r="A40" s="67"/>
      <c r="B40" s="66"/>
      <c r="C40" s="66"/>
      <c r="D40" s="66"/>
      <c r="E40" s="5"/>
      <c r="F40" s="1"/>
      <c r="G40" s="2"/>
      <c r="H40" s="2"/>
      <c r="I40" s="3"/>
    </row>
    <row r="41" spans="1:9" ht="21.75" customHeight="1">
      <c r="A41" s="67"/>
      <c r="B41" s="66"/>
      <c r="C41" s="66"/>
      <c r="D41" s="66"/>
      <c r="E41" s="5"/>
      <c r="F41" s="1"/>
      <c r="G41" s="2"/>
      <c r="H41" s="2"/>
      <c r="I41" s="3"/>
    </row>
    <row r="42" spans="1:9" ht="21.75" customHeight="1">
      <c r="A42" s="67"/>
      <c r="B42" s="66"/>
      <c r="C42" s="66"/>
      <c r="D42" s="66"/>
      <c r="E42" s="5"/>
      <c r="F42" s="1"/>
      <c r="G42" s="2"/>
      <c r="H42" s="2"/>
      <c r="I42" s="3"/>
    </row>
    <row r="43" spans="1:9" ht="21.75" customHeight="1">
      <c r="A43" s="67"/>
      <c r="B43" s="66"/>
      <c r="C43" s="66"/>
      <c r="D43" s="66"/>
      <c r="E43" s="5"/>
      <c r="F43" s="1"/>
      <c r="G43" s="2"/>
      <c r="H43" s="2"/>
      <c r="I43" s="3"/>
    </row>
    <row r="44" spans="1:9" ht="21.75" customHeight="1">
      <c r="A44" s="67"/>
      <c r="B44" s="66"/>
      <c r="C44" s="66"/>
      <c r="D44" s="66"/>
      <c r="E44" s="5"/>
      <c r="F44" s="1"/>
      <c r="G44" s="2"/>
      <c r="H44" s="2"/>
      <c r="I44" s="3"/>
    </row>
    <row r="45" spans="1:9" ht="21.75" customHeight="1">
      <c r="A45" s="67"/>
      <c r="B45" s="66"/>
      <c r="C45" s="66"/>
      <c r="D45" s="66"/>
      <c r="E45" s="5"/>
      <c r="F45" s="1"/>
      <c r="G45" s="2"/>
      <c r="H45" s="2"/>
      <c r="I45" s="3"/>
    </row>
    <row r="46" spans="1:9" ht="21.75" customHeight="1">
      <c r="A46" s="67"/>
      <c r="B46" s="66"/>
      <c r="C46" s="66"/>
      <c r="D46" s="66"/>
      <c r="E46" s="5"/>
      <c r="F46" s="1"/>
      <c r="G46" s="2"/>
      <c r="H46" s="2"/>
      <c r="I46" s="3"/>
    </row>
    <row r="47" spans="1:9" ht="21.75" customHeight="1">
      <c r="A47" s="67"/>
      <c r="B47" s="66"/>
      <c r="C47" s="66"/>
      <c r="D47" s="66"/>
      <c r="E47" s="5"/>
      <c r="F47" s="1"/>
      <c r="G47" s="2"/>
      <c r="H47" s="2"/>
      <c r="I47" s="3"/>
    </row>
    <row r="48" spans="1:9" ht="21.75" customHeight="1">
      <c r="A48" s="67"/>
      <c r="B48" s="66"/>
      <c r="C48" s="66"/>
      <c r="D48" s="66"/>
      <c r="E48" s="5"/>
      <c r="F48" s="1"/>
      <c r="G48" s="2"/>
      <c r="H48" s="2"/>
      <c r="I48" s="3"/>
    </row>
    <row r="49" spans="1:9" ht="21.75" customHeight="1">
      <c r="A49" s="67"/>
      <c r="B49" s="66"/>
      <c r="C49" s="66"/>
      <c r="D49" s="66"/>
      <c r="E49" s="5"/>
      <c r="F49" s="1"/>
      <c r="G49" s="2"/>
      <c r="H49" s="2"/>
      <c r="I49" s="3"/>
    </row>
    <row r="50" spans="1:9" ht="21.75" customHeight="1">
      <c r="A50" s="67"/>
      <c r="B50" s="66"/>
      <c r="C50" s="66"/>
      <c r="D50" s="66"/>
      <c r="E50" s="5"/>
      <c r="F50" s="1"/>
      <c r="G50" s="2"/>
      <c r="H50" s="2"/>
      <c r="I50" s="3"/>
    </row>
    <row r="51" spans="1:9" ht="21.75" customHeight="1">
      <c r="A51" s="67"/>
      <c r="B51" s="66"/>
      <c r="C51" s="66"/>
      <c r="D51" s="66"/>
      <c r="E51" s="5"/>
      <c r="F51" s="1"/>
      <c r="G51" s="2"/>
      <c r="H51" s="2"/>
      <c r="I51" s="3"/>
    </row>
    <row r="52" spans="1:9" ht="21.75" customHeight="1">
      <c r="A52" s="67"/>
      <c r="B52" s="66"/>
      <c r="C52" s="66"/>
      <c r="D52" s="66"/>
      <c r="E52" s="5"/>
      <c r="F52" s="1"/>
      <c r="G52" s="2"/>
      <c r="H52" s="2"/>
      <c r="I52" s="3"/>
    </row>
    <row r="53" spans="1:9" ht="21.75" customHeight="1">
      <c r="A53" s="67"/>
      <c r="B53" s="66"/>
      <c r="C53" s="66"/>
      <c r="D53" s="66"/>
      <c r="E53" s="5"/>
      <c r="F53" s="1"/>
      <c r="G53" s="2"/>
      <c r="H53" s="2"/>
      <c r="I53" s="3"/>
    </row>
    <row r="54" spans="1:9" ht="21.75" customHeight="1">
      <c r="A54" s="67"/>
      <c r="B54" s="66"/>
      <c r="C54" s="66"/>
      <c r="D54" s="66"/>
      <c r="E54" s="5"/>
      <c r="F54" s="1"/>
      <c r="G54" s="2"/>
      <c r="H54" s="2"/>
      <c r="I54" s="3"/>
    </row>
    <row r="55" spans="1:9" ht="21.75" customHeight="1">
      <c r="A55" s="67"/>
      <c r="B55" s="66"/>
      <c r="C55" s="66"/>
      <c r="D55" s="66"/>
      <c r="E55" s="5"/>
      <c r="F55" s="1"/>
      <c r="G55" s="2"/>
      <c r="H55" s="2"/>
      <c r="I55" s="3"/>
    </row>
    <row r="56" spans="1:9" ht="21.75" customHeight="1">
      <c r="A56" s="67"/>
      <c r="B56" s="66"/>
      <c r="C56" s="66"/>
      <c r="D56" s="66"/>
      <c r="E56" s="5"/>
      <c r="F56" s="1"/>
      <c r="G56" s="2"/>
      <c r="H56" s="2"/>
      <c r="I56" s="3"/>
    </row>
    <row r="57" spans="1:9" ht="21.75" customHeight="1">
      <c r="A57" s="67"/>
      <c r="B57" s="66"/>
      <c r="C57" s="66"/>
      <c r="D57" s="66"/>
      <c r="E57" s="5"/>
      <c r="F57" s="1"/>
      <c r="G57" s="2"/>
      <c r="H57" s="2"/>
      <c r="I57" s="3"/>
    </row>
    <row r="58" spans="1:9" ht="21.75" customHeight="1">
      <c r="A58" s="67"/>
      <c r="B58" s="66"/>
      <c r="C58" s="66"/>
      <c r="D58" s="66"/>
      <c r="E58" s="5"/>
      <c r="F58" s="1"/>
      <c r="G58" s="2"/>
      <c r="H58" s="2"/>
      <c r="I58" s="3"/>
    </row>
    <row r="59" spans="1:9" ht="21.75" customHeight="1">
      <c r="A59" s="67"/>
      <c r="B59" s="66"/>
      <c r="C59" s="66"/>
      <c r="D59" s="66"/>
      <c r="E59" s="5"/>
      <c r="F59" s="1"/>
      <c r="G59" s="2"/>
      <c r="H59" s="2"/>
      <c r="I59" s="3"/>
    </row>
  </sheetData>
  <mergeCells count="22">
    <mergeCell ref="A25:A26"/>
    <mergeCell ref="A18:A20"/>
    <mergeCell ref="A1:F1"/>
    <mergeCell ref="B2:F2"/>
    <mergeCell ref="A38:D59"/>
    <mergeCell ref="A28:B28"/>
    <mergeCell ref="A29:B29"/>
    <mergeCell ref="C29:F29"/>
    <mergeCell ref="C28:F28"/>
    <mergeCell ref="B3:F3"/>
    <mergeCell ref="B4:F4"/>
    <mergeCell ref="B5:F5"/>
    <mergeCell ref="A27:F27"/>
    <mergeCell ref="F8:F26"/>
    <mergeCell ref="A8:A17"/>
    <mergeCell ref="A21:A22"/>
    <mergeCell ref="A23:A24"/>
    <mergeCell ref="F6:F7"/>
    <mergeCell ref="A6:A7"/>
    <mergeCell ref="B6:B7"/>
    <mergeCell ref="C6:C7"/>
    <mergeCell ref="E6:E7"/>
  </mergeCells>
  <conditionalFormatting sqref="G1:G5 G27:G59">
    <cfRule type="containsText" dxfId="1" priority="3" operator="containsText" text="Check">
      <formula>NOT(ISERROR(SEARCH(("Check"),(J1))))</formula>
    </cfRule>
  </conditionalFormatting>
  <conditionalFormatting sqref="E6:E26">
    <cfRule type="containsText" dxfId="0" priority="2" operator="containsText" text="Check">
      <formula>NOT(ISERROR(SEARCH(("Check"),(G6))))</formula>
    </cfRule>
  </conditionalFormatting>
  <dataValidations count="1">
    <dataValidation type="list" allowBlank="1" showInputMessage="1" showErrorMessage="1" sqref="D8:D26" xr:uid="{0EC5E2F0-12DF-47CD-9137-B822391F0B02}">
      <formula1>"Chưa đạt,Hoàn thành,Tốt"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/>
  </sheetViews>
  <sheetFormatPr defaultColWidth="12.5703125" defaultRowHeight="15" customHeight="1"/>
  <cols>
    <col min="1" max="1" width="31.42578125" customWidth="1"/>
  </cols>
  <sheetData>
    <row r="1" spans="1:3">
      <c r="A1" s="29" t="s">
        <v>41</v>
      </c>
      <c r="B1" s="6" t="s">
        <v>42</v>
      </c>
      <c r="C1" s="6" t="s">
        <v>43</v>
      </c>
    </row>
    <row r="2" spans="1:3">
      <c r="A2" s="7" t="s">
        <v>44</v>
      </c>
      <c r="B2" s="7">
        <v>2.5</v>
      </c>
      <c r="C2" s="8">
        <f t="shared" ref="C2:C6" si="0">B2/5</f>
        <v>0.5</v>
      </c>
    </row>
    <row r="3" spans="1:3">
      <c r="A3" s="9" t="s">
        <v>45</v>
      </c>
      <c r="B3" s="9">
        <v>1</v>
      </c>
      <c r="C3" s="8">
        <f t="shared" si="0"/>
        <v>0.2</v>
      </c>
    </row>
    <row r="4" spans="1:3">
      <c r="A4" s="9" t="s">
        <v>46</v>
      </c>
      <c r="B4" s="9">
        <v>0.5</v>
      </c>
      <c r="C4" s="8">
        <f t="shared" si="0"/>
        <v>0.1</v>
      </c>
    </row>
    <row r="5" spans="1:3">
      <c r="A5" s="9" t="s">
        <v>47</v>
      </c>
      <c r="B5" s="9">
        <v>0.5</v>
      </c>
      <c r="C5" s="8">
        <f t="shared" si="0"/>
        <v>0.1</v>
      </c>
    </row>
    <row r="6" spans="1:3">
      <c r="A6" s="7" t="s">
        <v>48</v>
      </c>
      <c r="B6" s="7">
        <v>0.5</v>
      </c>
      <c r="C6" s="10">
        <f t="shared" si="0"/>
        <v>0.1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R&amp;D K12 Team Drive</cp:lastModifiedBy>
  <cp:revision/>
  <dcterms:created xsi:type="dcterms:W3CDTF">2024-06-20T03:10:23Z</dcterms:created>
  <dcterms:modified xsi:type="dcterms:W3CDTF">2026-02-03T09:53:44Z</dcterms:modified>
  <cp:category/>
  <cp:contentStatus/>
</cp:coreProperties>
</file>